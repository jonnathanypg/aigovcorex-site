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Javier Gastiaburo\Dropbox\FUNDACION_GASIBA\NEW_2026_GASIBA\2026\CMCI_198_SEP\HERRAMIENTAS\"/>
    </mc:Choice>
  </mc:AlternateContent>
  <xr:revisionPtr revIDLastSave="0" documentId="13_ncr:1_{C0509DFD-4916-4D6D-B5A4-8E09125BA7E9}" xr6:coauthVersionLast="47" xr6:coauthVersionMax="47" xr10:uidLastSave="{00000000-0000-0000-0000-000000000000}"/>
  <bookViews>
    <workbookView xWindow="-108" yWindow="-108" windowWidth="23256" windowHeight="13896" tabRatio="659" activeTab="3" xr2:uid="{00000000-000D-0000-FFFF-FFFF00000000}"/>
  </bookViews>
  <sheets>
    <sheet name="INSTRUCCIONES" sheetId="1" r:id="rId1"/>
    <sheet name="VALORACIÓN" sheetId="2" r:id="rId2"/>
    <sheet name="PARÁMETROS" sheetId="3" r:id="rId3"/>
    <sheet name="BASE DE DATOS" sheetId="4" r:id="rId4"/>
    <sheet name="PRIORIZACIÓN" sheetId="5" r:id="rId5"/>
    <sheet name="DASHBOARD" sheetId="6" r:id="rId6"/>
    <sheet name="PRUEBAS" sheetId="7" state="hidden" r:id="rId7"/>
  </sheets>
  <definedNames>
    <definedName name="_xlnm._FilterDatabase" localSheetId="3" hidden="1">'BASE DE DATOS'!$A$4:$Z$152</definedName>
    <definedName name="_xlnm._FilterDatabase" localSheetId="4" hidden="1">PRIORIZACIÓN!$A$4:$O$154</definedName>
    <definedName name="BD_PrimeraFila">'BASE DE DATOS'!$A$5</definedName>
    <definedName name="CanastaRef">PARÁMETROS!$B$179</definedName>
    <definedName name="DepT_1">PARÁMETROS!$B$184</definedName>
    <definedName name="DepT_2">PARÁMETROS!$B$185</definedName>
    <definedName name="DepT_3">PARÁMETROS!$B$186</definedName>
    <definedName name="DepT_4">PARÁMETROS!$B$187</definedName>
    <definedName name="HacT_2">PARÁMETROS!$B$191</definedName>
    <definedName name="HacT_3">PARÁMETROS!$B$192</definedName>
    <definedName name="ListaCMCI">PARÁMETROS!$A$196:$A$202</definedName>
    <definedName name="ListaEstadoVal">PARÁMETROS!$C$196:$C$202</definedName>
    <definedName name="ListaParentesco">PARÁMETROS!$B$196:$B$202</definedName>
    <definedName name="ListaSexo">PARÁMETROS!$D$196:$D$202</definedName>
    <definedName name="ListaSiNo">PARÁMETROS!$E$196:$E$202</definedName>
    <definedName name="ListaSiNoParcial">PARÁMETROS!$F$196:$F$202</definedName>
    <definedName name="ListaTenencia">PARÁMETROS!$G$196:$G$202</definedName>
    <definedName name="NnaT_2">PARÁMETROS!$B$188</definedName>
    <definedName name="NnaT_3">PARÁMETROS!$B$189</definedName>
    <definedName name="NnaT_4">PARÁMETROS!$B$190</definedName>
    <definedName name="NV_Alerta">VALORACIÓN!$F$82</definedName>
    <definedName name="NV_CMCI">VALORACIÓN!$C11</definedName>
    <definedName name="NV_Codigo">VALORACIÓN!$C5</definedName>
    <definedName name="NV_D1">VALORACIÓN!$G$33</definedName>
    <definedName name="NV_D2">VALORACIÓN!$G$38</definedName>
    <definedName name="NV_D3">VALORACIÓN!$G$44</definedName>
    <definedName name="NV_D4">VALORACIÓN!$G$51</definedName>
    <definedName name="NV_D5">VALORACIÓN!$G$57</definedName>
    <definedName name="NV_D6">VALORACIÓN!$G$63</definedName>
    <definedName name="NV_D7">VALORACIÓN!$G$70</definedName>
    <definedName name="NV_D8">VALORACIÓN!$G$75</definedName>
    <definedName name="NV_Edad">VALORACIÓN!$C9</definedName>
    <definedName name="NV_Estado">VALORACIÓN!$C16</definedName>
    <definedName name="NV_FechaVal">VALORACIÓN!$C6</definedName>
    <definedName name="NV_Necesidad">VALORACIÓN!$F$84</definedName>
    <definedName name="NV_Nivel">VALORACIÓN!$F$80</definedName>
    <definedName name="NV_Nombre">VALORACIÓN!$C7</definedName>
    <definedName name="NV_Observaciones">VALORACIÓN!$D107</definedName>
    <definedName name="NV_Prioridad">VALORACIÓN!$F$83</definedName>
    <definedName name="NV_Sector">VALORACIÓN!$C12</definedName>
    <definedName name="NV_Sexo">VALORACIÓN!$C10</definedName>
    <definedName name="NV_Total">VALORACIÓN!$F$78</definedName>
    <definedName name="ParamDimCod">PARÁMETROS!$A$6:$A$13</definedName>
    <definedName name="ParamDimNombre">PARÁMETROS!$B$6:$B$13</definedName>
    <definedName name="ParamDimPeso">PARÁMETROS!$F$6:$F$13</definedName>
    <definedName name="ParamIndicID">PARÁMETROS!$A$18:$A$50</definedName>
    <definedName name="ParamOpcID">PARÁMETROS!$A$64:$A$161</definedName>
    <definedName name="ParamOpcScore">PARÁMETROS!$F$64:$F$161</definedName>
    <definedName name="ParamOpcTexto">PARÁMETROS!$B$64:$B$161</definedName>
    <definedName name="ParamPesoGlobal">PARÁMETROS!$E$18:$E$50</definedName>
    <definedName name="ParamPrioDesde">PARÁMETROS!$B$173:$B$175</definedName>
    <definedName name="ParamPrioNombre">PARÁMETROS!$A$173:$A$175</definedName>
    <definedName name="ParamPrioTabla">PARÁMETROS!$A$173:$D$175</definedName>
    <definedName name="ParamRangoDesde">PARÁMETROS!$B$165:$B$169</definedName>
    <definedName name="ParamRangoNivel">PARÁMETROS!$A$165:$A$169</definedName>
    <definedName name="ParamRangoSemaforo">PARÁMETROS!$D$165:$D$169</definedName>
    <definedName name="ParamRangoTabla">PARÁMETROS!$A$165:$E$169</definedName>
    <definedName name="RatioT_025">PARÁMETROS!$B$183</definedName>
    <definedName name="RatioT_050">PARÁMETROS!$B$182</definedName>
    <definedName name="RatioT_075">PARÁMETROS!$B$181</definedName>
    <definedName name="RatioT_100">PARÁMETROS!$B$180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30" i="2" l="1"/>
  <c r="H9" i="7"/>
  <c r="F9" i="7"/>
  <c r="I9" i="7" s="1"/>
  <c r="H8" i="7"/>
  <c r="F8" i="7"/>
  <c r="I8" i="7" s="1"/>
  <c r="H7" i="7"/>
  <c r="F7" i="7"/>
  <c r="I7" i="7" s="1"/>
  <c r="H6" i="7"/>
  <c r="F6" i="7"/>
  <c r="H5" i="7"/>
  <c r="F5" i="7"/>
  <c r="I5" i="7" s="1"/>
  <c r="D28" i="6"/>
  <c r="D27" i="6"/>
  <c r="D26" i="6"/>
  <c r="D25" i="6"/>
  <c r="E22" i="6"/>
  <c r="E5" i="6"/>
  <c r="Z152" i="4"/>
  <c r="Y152" i="4"/>
  <c r="V152" i="4"/>
  <c r="U152" i="4"/>
  <c r="S152" i="4"/>
  <c r="R152" i="4"/>
  <c r="Q152" i="4"/>
  <c r="P152" i="4"/>
  <c r="Z151" i="4"/>
  <c r="Y151" i="4"/>
  <c r="V151" i="4"/>
  <c r="U151" i="4"/>
  <c r="S151" i="4"/>
  <c r="R151" i="4"/>
  <c r="Q151" i="4"/>
  <c r="P151" i="4"/>
  <c r="Z150" i="4"/>
  <c r="Y150" i="4"/>
  <c r="V150" i="4"/>
  <c r="U150" i="4"/>
  <c r="S150" i="4"/>
  <c r="R150" i="4"/>
  <c r="Q150" i="4"/>
  <c r="P150" i="4"/>
  <c r="Z149" i="4"/>
  <c r="Y149" i="4"/>
  <c r="V149" i="4"/>
  <c r="U149" i="4"/>
  <c r="S149" i="4"/>
  <c r="R149" i="4"/>
  <c r="Q149" i="4"/>
  <c r="P149" i="4"/>
  <c r="Z148" i="4"/>
  <c r="Y148" i="4"/>
  <c r="V148" i="4"/>
  <c r="U148" i="4"/>
  <c r="S148" i="4"/>
  <c r="R148" i="4"/>
  <c r="Q148" i="4"/>
  <c r="P148" i="4"/>
  <c r="Z147" i="4"/>
  <c r="Y147" i="4"/>
  <c r="V147" i="4"/>
  <c r="U147" i="4"/>
  <c r="S147" i="4"/>
  <c r="R147" i="4"/>
  <c r="Q147" i="4"/>
  <c r="P147" i="4"/>
  <c r="Z146" i="4"/>
  <c r="Y146" i="4"/>
  <c r="V146" i="4"/>
  <c r="U146" i="4"/>
  <c r="S146" i="4"/>
  <c r="R146" i="4"/>
  <c r="Q146" i="4"/>
  <c r="P146" i="4"/>
  <c r="Z145" i="4"/>
  <c r="Y145" i="4"/>
  <c r="V145" i="4"/>
  <c r="U145" i="4"/>
  <c r="S145" i="4"/>
  <c r="R145" i="4"/>
  <c r="Q145" i="4"/>
  <c r="P145" i="4"/>
  <c r="Z144" i="4"/>
  <c r="Y144" i="4"/>
  <c r="V144" i="4"/>
  <c r="U144" i="4"/>
  <c r="S144" i="4"/>
  <c r="R144" i="4"/>
  <c r="Q144" i="4"/>
  <c r="P144" i="4"/>
  <c r="Z143" i="4"/>
  <c r="Y143" i="4"/>
  <c r="V143" i="4"/>
  <c r="U143" i="4"/>
  <c r="S143" i="4"/>
  <c r="R143" i="4"/>
  <c r="Q143" i="4"/>
  <c r="P143" i="4"/>
  <c r="Z142" i="4"/>
  <c r="Y142" i="4"/>
  <c r="V142" i="4"/>
  <c r="U142" i="4"/>
  <c r="S142" i="4"/>
  <c r="R142" i="4"/>
  <c r="Q142" i="4"/>
  <c r="P142" i="4"/>
  <c r="Z141" i="4"/>
  <c r="Y141" i="4"/>
  <c r="V141" i="4"/>
  <c r="U141" i="4"/>
  <c r="S141" i="4"/>
  <c r="R141" i="4"/>
  <c r="Q141" i="4"/>
  <c r="P141" i="4"/>
  <c r="Z140" i="4"/>
  <c r="Y140" i="4"/>
  <c r="V140" i="4"/>
  <c r="U140" i="4"/>
  <c r="S140" i="4"/>
  <c r="R140" i="4"/>
  <c r="Q140" i="4"/>
  <c r="P140" i="4"/>
  <c r="Z139" i="4"/>
  <c r="Y139" i="4"/>
  <c r="V139" i="4"/>
  <c r="U139" i="4"/>
  <c r="S139" i="4"/>
  <c r="R139" i="4"/>
  <c r="Q139" i="4"/>
  <c r="P139" i="4"/>
  <c r="Z138" i="4"/>
  <c r="Y138" i="4"/>
  <c r="V138" i="4"/>
  <c r="U138" i="4"/>
  <c r="S138" i="4"/>
  <c r="R138" i="4"/>
  <c r="Q138" i="4"/>
  <c r="P138" i="4"/>
  <c r="Z137" i="4"/>
  <c r="Y137" i="4"/>
  <c r="V137" i="4"/>
  <c r="U137" i="4"/>
  <c r="S137" i="4"/>
  <c r="R137" i="4"/>
  <c r="Q137" i="4"/>
  <c r="P137" i="4"/>
  <c r="Z136" i="4"/>
  <c r="Y136" i="4"/>
  <c r="V136" i="4"/>
  <c r="U136" i="4"/>
  <c r="S136" i="4"/>
  <c r="R136" i="4"/>
  <c r="Q136" i="4"/>
  <c r="P136" i="4"/>
  <c r="Z135" i="4"/>
  <c r="Y135" i="4"/>
  <c r="V135" i="4"/>
  <c r="U135" i="4"/>
  <c r="S135" i="4"/>
  <c r="R135" i="4"/>
  <c r="Q135" i="4"/>
  <c r="P135" i="4"/>
  <c r="Z134" i="4"/>
  <c r="Y134" i="4"/>
  <c r="V134" i="4"/>
  <c r="U134" i="4"/>
  <c r="S134" i="4"/>
  <c r="R134" i="4"/>
  <c r="Q134" i="4"/>
  <c r="P134" i="4"/>
  <c r="Z133" i="4"/>
  <c r="Y133" i="4"/>
  <c r="V133" i="4"/>
  <c r="U133" i="4"/>
  <c r="S133" i="4"/>
  <c r="R133" i="4"/>
  <c r="Q133" i="4"/>
  <c r="P133" i="4"/>
  <c r="Z132" i="4"/>
  <c r="Y132" i="4"/>
  <c r="V132" i="4"/>
  <c r="U132" i="4"/>
  <c r="S132" i="4"/>
  <c r="R132" i="4"/>
  <c r="Q132" i="4"/>
  <c r="P132" i="4"/>
  <c r="Z131" i="4"/>
  <c r="Y131" i="4"/>
  <c r="V131" i="4"/>
  <c r="U131" i="4"/>
  <c r="S131" i="4"/>
  <c r="R131" i="4"/>
  <c r="Q131" i="4"/>
  <c r="P131" i="4"/>
  <c r="Z130" i="4"/>
  <c r="Y130" i="4"/>
  <c r="V130" i="4"/>
  <c r="U130" i="4"/>
  <c r="S130" i="4"/>
  <c r="R130" i="4"/>
  <c r="Q130" i="4"/>
  <c r="P130" i="4"/>
  <c r="Z129" i="4"/>
  <c r="Y129" i="4"/>
  <c r="V129" i="4"/>
  <c r="U129" i="4"/>
  <c r="S129" i="4"/>
  <c r="R129" i="4"/>
  <c r="Q129" i="4"/>
  <c r="P129" i="4"/>
  <c r="Z128" i="4"/>
  <c r="Y128" i="4"/>
  <c r="V128" i="4"/>
  <c r="U128" i="4"/>
  <c r="S128" i="4"/>
  <c r="R128" i="4"/>
  <c r="Q128" i="4"/>
  <c r="P128" i="4"/>
  <c r="Z127" i="4"/>
  <c r="Y127" i="4"/>
  <c r="V127" i="4"/>
  <c r="U127" i="4"/>
  <c r="S127" i="4"/>
  <c r="R127" i="4"/>
  <c r="Q127" i="4"/>
  <c r="P127" i="4"/>
  <c r="Z126" i="4"/>
  <c r="Y126" i="4"/>
  <c r="V126" i="4"/>
  <c r="U126" i="4"/>
  <c r="S126" i="4"/>
  <c r="R126" i="4"/>
  <c r="Q126" i="4"/>
  <c r="P126" i="4"/>
  <c r="Z125" i="4"/>
  <c r="Y125" i="4"/>
  <c r="V125" i="4"/>
  <c r="U125" i="4"/>
  <c r="S125" i="4"/>
  <c r="R125" i="4"/>
  <c r="Q125" i="4"/>
  <c r="P125" i="4"/>
  <c r="Z124" i="4"/>
  <c r="Y124" i="4"/>
  <c r="V124" i="4"/>
  <c r="U124" i="4"/>
  <c r="S124" i="4"/>
  <c r="R124" i="4"/>
  <c r="Q124" i="4"/>
  <c r="P124" i="4"/>
  <c r="Z123" i="4"/>
  <c r="Y123" i="4"/>
  <c r="V123" i="4"/>
  <c r="U123" i="4"/>
  <c r="S123" i="4"/>
  <c r="R123" i="4"/>
  <c r="Q123" i="4"/>
  <c r="P123" i="4"/>
  <c r="Z122" i="4"/>
  <c r="Y122" i="4"/>
  <c r="V122" i="4"/>
  <c r="U122" i="4"/>
  <c r="S122" i="4"/>
  <c r="R122" i="4"/>
  <c r="Q122" i="4"/>
  <c r="P122" i="4"/>
  <c r="Z121" i="4"/>
  <c r="Y121" i="4"/>
  <c r="V121" i="4"/>
  <c r="U121" i="4"/>
  <c r="S121" i="4"/>
  <c r="R121" i="4"/>
  <c r="Q121" i="4"/>
  <c r="P121" i="4"/>
  <c r="Z120" i="4"/>
  <c r="Y120" i="4"/>
  <c r="V120" i="4"/>
  <c r="U120" i="4"/>
  <c r="S120" i="4"/>
  <c r="R120" i="4"/>
  <c r="Q120" i="4"/>
  <c r="P120" i="4"/>
  <c r="Z119" i="4"/>
  <c r="Y119" i="4"/>
  <c r="V119" i="4"/>
  <c r="U119" i="4"/>
  <c r="S119" i="4"/>
  <c r="R119" i="4"/>
  <c r="Q119" i="4"/>
  <c r="P119" i="4"/>
  <c r="Z118" i="4"/>
  <c r="Y118" i="4"/>
  <c r="V118" i="4"/>
  <c r="U118" i="4"/>
  <c r="S118" i="4"/>
  <c r="R118" i="4"/>
  <c r="Q118" i="4"/>
  <c r="P118" i="4"/>
  <c r="Z117" i="4"/>
  <c r="Y117" i="4"/>
  <c r="V117" i="4"/>
  <c r="U117" i="4"/>
  <c r="S117" i="4"/>
  <c r="R117" i="4"/>
  <c r="Q117" i="4"/>
  <c r="P117" i="4"/>
  <c r="Z116" i="4"/>
  <c r="Y116" i="4"/>
  <c r="V116" i="4"/>
  <c r="U116" i="4"/>
  <c r="S116" i="4"/>
  <c r="R116" i="4"/>
  <c r="Q116" i="4"/>
  <c r="P116" i="4"/>
  <c r="Z115" i="4"/>
  <c r="Y115" i="4"/>
  <c r="V115" i="4"/>
  <c r="U115" i="4"/>
  <c r="S115" i="4"/>
  <c r="R115" i="4"/>
  <c r="Q115" i="4"/>
  <c r="P115" i="4"/>
  <c r="Z114" i="4"/>
  <c r="Y114" i="4"/>
  <c r="V114" i="4"/>
  <c r="U114" i="4"/>
  <c r="S114" i="4"/>
  <c r="R114" i="4"/>
  <c r="Q114" i="4"/>
  <c r="P114" i="4"/>
  <c r="Z113" i="4"/>
  <c r="Y113" i="4"/>
  <c r="V113" i="4"/>
  <c r="U113" i="4"/>
  <c r="S113" i="4"/>
  <c r="R113" i="4"/>
  <c r="Q113" i="4"/>
  <c r="P113" i="4"/>
  <c r="Z112" i="4"/>
  <c r="Y112" i="4"/>
  <c r="V112" i="4"/>
  <c r="U112" i="4"/>
  <c r="S112" i="4"/>
  <c r="R112" i="4"/>
  <c r="Q112" i="4"/>
  <c r="P112" i="4"/>
  <c r="Z111" i="4"/>
  <c r="Y111" i="4"/>
  <c r="V111" i="4"/>
  <c r="U111" i="4"/>
  <c r="S111" i="4"/>
  <c r="R111" i="4"/>
  <c r="Q111" i="4"/>
  <c r="P111" i="4"/>
  <c r="Z110" i="4"/>
  <c r="Y110" i="4"/>
  <c r="V110" i="4"/>
  <c r="U110" i="4"/>
  <c r="S110" i="4"/>
  <c r="R110" i="4"/>
  <c r="Q110" i="4"/>
  <c r="P110" i="4"/>
  <c r="Z109" i="4"/>
  <c r="Y109" i="4"/>
  <c r="V109" i="4"/>
  <c r="U109" i="4"/>
  <c r="S109" i="4"/>
  <c r="R109" i="4"/>
  <c r="Q109" i="4"/>
  <c r="P109" i="4"/>
  <c r="Z108" i="4"/>
  <c r="Y108" i="4"/>
  <c r="V108" i="4"/>
  <c r="U108" i="4"/>
  <c r="S108" i="4"/>
  <c r="R108" i="4"/>
  <c r="Q108" i="4"/>
  <c r="P108" i="4"/>
  <c r="Z107" i="4"/>
  <c r="Y107" i="4"/>
  <c r="V107" i="4"/>
  <c r="U107" i="4"/>
  <c r="S107" i="4"/>
  <c r="R107" i="4"/>
  <c r="Q107" i="4"/>
  <c r="P107" i="4"/>
  <c r="Z106" i="4"/>
  <c r="Y106" i="4"/>
  <c r="V106" i="4"/>
  <c r="U106" i="4"/>
  <c r="S106" i="4"/>
  <c r="R106" i="4"/>
  <c r="Q106" i="4"/>
  <c r="P106" i="4"/>
  <c r="Z105" i="4"/>
  <c r="Y105" i="4"/>
  <c r="V105" i="4"/>
  <c r="U105" i="4"/>
  <c r="S105" i="4"/>
  <c r="R105" i="4"/>
  <c r="Q105" i="4"/>
  <c r="P105" i="4"/>
  <c r="Z104" i="4"/>
  <c r="Y104" i="4"/>
  <c r="V104" i="4"/>
  <c r="U104" i="4"/>
  <c r="S104" i="4"/>
  <c r="R104" i="4"/>
  <c r="Q104" i="4"/>
  <c r="P104" i="4"/>
  <c r="Z103" i="4"/>
  <c r="Y103" i="4"/>
  <c r="V103" i="4"/>
  <c r="U103" i="4"/>
  <c r="S103" i="4"/>
  <c r="R103" i="4"/>
  <c r="Q103" i="4"/>
  <c r="P103" i="4"/>
  <c r="Z102" i="4"/>
  <c r="Y102" i="4"/>
  <c r="V102" i="4"/>
  <c r="U102" i="4"/>
  <c r="S102" i="4"/>
  <c r="R102" i="4"/>
  <c r="Q102" i="4"/>
  <c r="P102" i="4"/>
  <c r="Z101" i="4"/>
  <c r="Y101" i="4"/>
  <c r="V101" i="4"/>
  <c r="U101" i="4"/>
  <c r="S101" i="4"/>
  <c r="R101" i="4"/>
  <c r="Q101" i="4"/>
  <c r="P101" i="4"/>
  <c r="Z100" i="4"/>
  <c r="Y100" i="4"/>
  <c r="V100" i="4"/>
  <c r="U100" i="4"/>
  <c r="S100" i="4"/>
  <c r="R100" i="4"/>
  <c r="Q100" i="4"/>
  <c r="P100" i="4"/>
  <c r="Z99" i="4"/>
  <c r="Y99" i="4"/>
  <c r="V99" i="4"/>
  <c r="U99" i="4"/>
  <c r="S99" i="4"/>
  <c r="R99" i="4"/>
  <c r="Q99" i="4"/>
  <c r="P99" i="4"/>
  <c r="Z98" i="4"/>
  <c r="Y98" i="4"/>
  <c r="V98" i="4"/>
  <c r="U98" i="4"/>
  <c r="S98" i="4"/>
  <c r="R98" i="4"/>
  <c r="Q98" i="4"/>
  <c r="P98" i="4"/>
  <c r="Z97" i="4"/>
  <c r="Y97" i="4"/>
  <c r="V97" i="4"/>
  <c r="U97" i="4"/>
  <c r="S97" i="4"/>
  <c r="R97" i="4"/>
  <c r="Q97" i="4"/>
  <c r="P97" i="4"/>
  <c r="Z96" i="4"/>
  <c r="Y96" i="4"/>
  <c r="V96" i="4"/>
  <c r="U96" i="4"/>
  <c r="S96" i="4"/>
  <c r="R96" i="4"/>
  <c r="Q96" i="4"/>
  <c r="P96" i="4"/>
  <c r="Z95" i="4"/>
  <c r="Y95" i="4"/>
  <c r="V95" i="4"/>
  <c r="U95" i="4"/>
  <c r="S95" i="4"/>
  <c r="R95" i="4"/>
  <c r="Q95" i="4"/>
  <c r="P95" i="4"/>
  <c r="Z94" i="4"/>
  <c r="Y94" i="4"/>
  <c r="V94" i="4"/>
  <c r="U94" i="4"/>
  <c r="S94" i="4"/>
  <c r="R94" i="4"/>
  <c r="Q94" i="4"/>
  <c r="P94" i="4"/>
  <c r="Z93" i="4"/>
  <c r="Y93" i="4"/>
  <c r="V93" i="4"/>
  <c r="U93" i="4"/>
  <c r="S93" i="4"/>
  <c r="R93" i="4"/>
  <c r="Q93" i="4"/>
  <c r="P93" i="4"/>
  <c r="Z92" i="4"/>
  <c r="Y92" i="4"/>
  <c r="V92" i="4"/>
  <c r="U92" i="4"/>
  <c r="S92" i="4"/>
  <c r="R92" i="4"/>
  <c r="Q92" i="4"/>
  <c r="P92" i="4"/>
  <c r="Z91" i="4"/>
  <c r="Y91" i="4"/>
  <c r="V91" i="4"/>
  <c r="U91" i="4"/>
  <c r="S91" i="4"/>
  <c r="R91" i="4"/>
  <c r="Q91" i="4"/>
  <c r="P91" i="4"/>
  <c r="Z90" i="4"/>
  <c r="Y90" i="4"/>
  <c r="V90" i="4"/>
  <c r="U90" i="4"/>
  <c r="S90" i="4"/>
  <c r="R90" i="4"/>
  <c r="Q90" i="4"/>
  <c r="P90" i="4"/>
  <c r="Z89" i="4"/>
  <c r="Y89" i="4"/>
  <c r="V89" i="4"/>
  <c r="U89" i="4"/>
  <c r="S89" i="4"/>
  <c r="R89" i="4"/>
  <c r="Q89" i="4"/>
  <c r="P89" i="4"/>
  <c r="Z88" i="4"/>
  <c r="Y88" i="4"/>
  <c r="V88" i="4"/>
  <c r="U88" i="4"/>
  <c r="S88" i="4"/>
  <c r="R88" i="4"/>
  <c r="Q88" i="4"/>
  <c r="P88" i="4"/>
  <c r="Z87" i="4"/>
  <c r="Y87" i="4"/>
  <c r="V87" i="4"/>
  <c r="U87" i="4"/>
  <c r="S87" i="4"/>
  <c r="R87" i="4"/>
  <c r="Q87" i="4"/>
  <c r="P87" i="4"/>
  <c r="Z86" i="4"/>
  <c r="Y86" i="4"/>
  <c r="V86" i="4"/>
  <c r="U86" i="4"/>
  <c r="S86" i="4"/>
  <c r="R86" i="4"/>
  <c r="Q86" i="4"/>
  <c r="P86" i="4"/>
  <c r="Z85" i="4"/>
  <c r="Y85" i="4"/>
  <c r="V85" i="4"/>
  <c r="U85" i="4"/>
  <c r="S85" i="4"/>
  <c r="R85" i="4"/>
  <c r="Q85" i="4"/>
  <c r="P85" i="4"/>
  <c r="Z84" i="4"/>
  <c r="Y84" i="4"/>
  <c r="V84" i="4"/>
  <c r="U84" i="4"/>
  <c r="S84" i="4"/>
  <c r="R84" i="4"/>
  <c r="Q84" i="4"/>
  <c r="P84" i="4"/>
  <c r="Z83" i="4"/>
  <c r="Y83" i="4"/>
  <c r="V83" i="4"/>
  <c r="U83" i="4"/>
  <c r="S83" i="4"/>
  <c r="R83" i="4"/>
  <c r="Q83" i="4"/>
  <c r="P83" i="4"/>
  <c r="Z82" i="4"/>
  <c r="Y82" i="4"/>
  <c r="V82" i="4"/>
  <c r="U82" i="4"/>
  <c r="S82" i="4"/>
  <c r="R82" i="4"/>
  <c r="Q82" i="4"/>
  <c r="P82" i="4"/>
  <c r="Z81" i="4"/>
  <c r="Y81" i="4"/>
  <c r="V81" i="4"/>
  <c r="U81" i="4"/>
  <c r="S81" i="4"/>
  <c r="R81" i="4"/>
  <c r="Q81" i="4"/>
  <c r="P81" i="4"/>
  <c r="Z80" i="4"/>
  <c r="Y80" i="4"/>
  <c r="V80" i="4"/>
  <c r="U80" i="4"/>
  <c r="S80" i="4"/>
  <c r="R80" i="4"/>
  <c r="Q80" i="4"/>
  <c r="P80" i="4"/>
  <c r="Z79" i="4"/>
  <c r="Y79" i="4"/>
  <c r="V79" i="4"/>
  <c r="U79" i="4"/>
  <c r="S79" i="4"/>
  <c r="R79" i="4"/>
  <c r="Q79" i="4"/>
  <c r="P79" i="4"/>
  <c r="Z78" i="4"/>
  <c r="Y78" i="4"/>
  <c r="V78" i="4"/>
  <c r="U78" i="4"/>
  <c r="S78" i="4"/>
  <c r="R78" i="4"/>
  <c r="Q78" i="4"/>
  <c r="P78" i="4"/>
  <c r="Z77" i="4"/>
  <c r="Y77" i="4"/>
  <c r="V77" i="4"/>
  <c r="U77" i="4"/>
  <c r="S77" i="4"/>
  <c r="R77" i="4"/>
  <c r="Q77" i="4"/>
  <c r="P77" i="4"/>
  <c r="Z76" i="4"/>
  <c r="Y76" i="4"/>
  <c r="V76" i="4"/>
  <c r="U76" i="4"/>
  <c r="S76" i="4"/>
  <c r="R76" i="4"/>
  <c r="Q76" i="4"/>
  <c r="P76" i="4"/>
  <c r="Z75" i="4"/>
  <c r="Y75" i="4"/>
  <c r="V75" i="4"/>
  <c r="U75" i="4"/>
  <c r="S75" i="4"/>
  <c r="R75" i="4"/>
  <c r="Q75" i="4"/>
  <c r="P75" i="4"/>
  <c r="Z74" i="4"/>
  <c r="Y74" i="4"/>
  <c r="V74" i="4"/>
  <c r="U74" i="4"/>
  <c r="S74" i="4"/>
  <c r="R74" i="4"/>
  <c r="Q74" i="4"/>
  <c r="P74" i="4"/>
  <c r="Z73" i="4"/>
  <c r="Y73" i="4"/>
  <c r="V73" i="4"/>
  <c r="U73" i="4"/>
  <c r="S73" i="4"/>
  <c r="R73" i="4"/>
  <c r="Q73" i="4"/>
  <c r="P73" i="4"/>
  <c r="Z72" i="4"/>
  <c r="Y72" i="4"/>
  <c r="V72" i="4"/>
  <c r="U72" i="4"/>
  <c r="S72" i="4"/>
  <c r="R72" i="4"/>
  <c r="Q72" i="4"/>
  <c r="P72" i="4"/>
  <c r="Z71" i="4"/>
  <c r="Y71" i="4"/>
  <c r="V71" i="4"/>
  <c r="U71" i="4"/>
  <c r="S71" i="4"/>
  <c r="R71" i="4"/>
  <c r="Q71" i="4"/>
  <c r="P71" i="4"/>
  <c r="Z70" i="4"/>
  <c r="Y70" i="4"/>
  <c r="V70" i="4"/>
  <c r="U70" i="4"/>
  <c r="S70" i="4"/>
  <c r="R70" i="4"/>
  <c r="Q70" i="4"/>
  <c r="P70" i="4"/>
  <c r="Z69" i="4"/>
  <c r="Y69" i="4"/>
  <c r="V69" i="4"/>
  <c r="U69" i="4"/>
  <c r="S69" i="4"/>
  <c r="R69" i="4"/>
  <c r="Q69" i="4"/>
  <c r="P69" i="4"/>
  <c r="Z68" i="4"/>
  <c r="Y68" i="4"/>
  <c r="V68" i="4"/>
  <c r="U68" i="4"/>
  <c r="S68" i="4"/>
  <c r="R68" i="4"/>
  <c r="Q68" i="4"/>
  <c r="P68" i="4"/>
  <c r="Z67" i="4"/>
  <c r="Y67" i="4"/>
  <c r="V67" i="4"/>
  <c r="U67" i="4"/>
  <c r="S67" i="4"/>
  <c r="R67" i="4"/>
  <c r="Q67" i="4"/>
  <c r="P67" i="4"/>
  <c r="Z66" i="4"/>
  <c r="Y66" i="4"/>
  <c r="V66" i="4"/>
  <c r="U66" i="4"/>
  <c r="S66" i="4"/>
  <c r="R66" i="4"/>
  <c r="Q66" i="4"/>
  <c r="P66" i="4"/>
  <c r="Z65" i="4"/>
  <c r="Y65" i="4"/>
  <c r="V65" i="4"/>
  <c r="U65" i="4"/>
  <c r="S65" i="4"/>
  <c r="R65" i="4"/>
  <c r="Q65" i="4"/>
  <c r="P65" i="4"/>
  <c r="Z64" i="4"/>
  <c r="Y64" i="4"/>
  <c r="V64" i="4"/>
  <c r="U64" i="4"/>
  <c r="S64" i="4"/>
  <c r="R64" i="4"/>
  <c r="Q64" i="4"/>
  <c r="P64" i="4"/>
  <c r="Z63" i="4"/>
  <c r="Y63" i="4"/>
  <c r="V63" i="4"/>
  <c r="U63" i="4"/>
  <c r="S63" i="4"/>
  <c r="R63" i="4"/>
  <c r="Q63" i="4"/>
  <c r="P63" i="4"/>
  <c r="Z62" i="4"/>
  <c r="Y62" i="4"/>
  <c r="V62" i="4"/>
  <c r="U62" i="4"/>
  <c r="S62" i="4"/>
  <c r="R62" i="4"/>
  <c r="Q62" i="4"/>
  <c r="P62" i="4"/>
  <c r="Z61" i="4"/>
  <c r="Y61" i="4"/>
  <c r="V61" i="4"/>
  <c r="U61" i="4"/>
  <c r="S61" i="4"/>
  <c r="R61" i="4"/>
  <c r="Q61" i="4"/>
  <c r="P61" i="4"/>
  <c r="Z60" i="4"/>
  <c r="Y60" i="4"/>
  <c r="V60" i="4"/>
  <c r="U60" i="4"/>
  <c r="S60" i="4"/>
  <c r="R60" i="4"/>
  <c r="Q60" i="4"/>
  <c r="P60" i="4"/>
  <c r="Z59" i="4"/>
  <c r="Y59" i="4"/>
  <c r="V59" i="4"/>
  <c r="U59" i="4"/>
  <c r="S59" i="4"/>
  <c r="R59" i="4"/>
  <c r="Q59" i="4"/>
  <c r="P59" i="4"/>
  <c r="Z58" i="4"/>
  <c r="Y58" i="4"/>
  <c r="V58" i="4"/>
  <c r="U58" i="4"/>
  <c r="S58" i="4"/>
  <c r="R58" i="4"/>
  <c r="Q58" i="4"/>
  <c r="P58" i="4"/>
  <c r="Z57" i="4"/>
  <c r="Y57" i="4"/>
  <c r="V57" i="4"/>
  <c r="U57" i="4"/>
  <c r="S57" i="4"/>
  <c r="R57" i="4"/>
  <c r="Q57" i="4"/>
  <c r="P57" i="4"/>
  <c r="Z56" i="4"/>
  <c r="Y56" i="4"/>
  <c r="V56" i="4"/>
  <c r="U56" i="4"/>
  <c r="S56" i="4"/>
  <c r="R56" i="4"/>
  <c r="Q56" i="4"/>
  <c r="P56" i="4"/>
  <c r="Z55" i="4"/>
  <c r="Y55" i="4"/>
  <c r="V55" i="4"/>
  <c r="U55" i="4"/>
  <c r="S55" i="4"/>
  <c r="R55" i="4"/>
  <c r="Q55" i="4"/>
  <c r="P55" i="4"/>
  <c r="Z54" i="4"/>
  <c r="Y54" i="4"/>
  <c r="V54" i="4"/>
  <c r="U54" i="4"/>
  <c r="S54" i="4"/>
  <c r="R54" i="4"/>
  <c r="Q54" i="4"/>
  <c r="P54" i="4"/>
  <c r="Z53" i="4"/>
  <c r="Y53" i="4"/>
  <c r="V53" i="4"/>
  <c r="U53" i="4"/>
  <c r="S53" i="4"/>
  <c r="R53" i="4"/>
  <c r="Q53" i="4"/>
  <c r="P53" i="4"/>
  <c r="Z52" i="4"/>
  <c r="Y52" i="4"/>
  <c r="V52" i="4"/>
  <c r="U52" i="4"/>
  <c r="S52" i="4"/>
  <c r="R52" i="4"/>
  <c r="Q52" i="4"/>
  <c r="P52" i="4"/>
  <c r="Z51" i="4"/>
  <c r="Y51" i="4"/>
  <c r="V51" i="4"/>
  <c r="U51" i="4"/>
  <c r="S51" i="4"/>
  <c r="R51" i="4"/>
  <c r="Q51" i="4"/>
  <c r="P51" i="4"/>
  <c r="Z50" i="4"/>
  <c r="Y50" i="4"/>
  <c r="V50" i="4"/>
  <c r="U50" i="4"/>
  <c r="S50" i="4"/>
  <c r="R50" i="4"/>
  <c r="Q50" i="4"/>
  <c r="P50" i="4"/>
  <c r="Z49" i="4"/>
  <c r="Y49" i="4"/>
  <c r="V49" i="4"/>
  <c r="U49" i="4"/>
  <c r="S49" i="4"/>
  <c r="R49" i="4"/>
  <c r="Q49" i="4"/>
  <c r="P49" i="4"/>
  <c r="Z48" i="4"/>
  <c r="Y48" i="4"/>
  <c r="V48" i="4"/>
  <c r="U48" i="4"/>
  <c r="S48" i="4"/>
  <c r="R48" i="4"/>
  <c r="Q48" i="4"/>
  <c r="P48" i="4"/>
  <c r="Z47" i="4"/>
  <c r="Y47" i="4"/>
  <c r="V47" i="4"/>
  <c r="U47" i="4"/>
  <c r="S47" i="4"/>
  <c r="R47" i="4"/>
  <c r="Q47" i="4"/>
  <c r="P47" i="4"/>
  <c r="Z46" i="4"/>
  <c r="Y46" i="4"/>
  <c r="V46" i="4"/>
  <c r="U46" i="4"/>
  <c r="S46" i="4"/>
  <c r="R46" i="4"/>
  <c r="Q46" i="4"/>
  <c r="P46" i="4"/>
  <c r="Z45" i="4"/>
  <c r="Y45" i="4"/>
  <c r="V45" i="4"/>
  <c r="U45" i="4"/>
  <c r="S45" i="4"/>
  <c r="R45" i="4"/>
  <c r="Q45" i="4"/>
  <c r="P45" i="4"/>
  <c r="Z44" i="4"/>
  <c r="Y44" i="4"/>
  <c r="V44" i="4"/>
  <c r="U44" i="4"/>
  <c r="S44" i="4"/>
  <c r="R44" i="4"/>
  <c r="Q44" i="4"/>
  <c r="P44" i="4"/>
  <c r="Z43" i="4"/>
  <c r="Y43" i="4"/>
  <c r="V43" i="4"/>
  <c r="U43" i="4"/>
  <c r="S43" i="4"/>
  <c r="R43" i="4"/>
  <c r="Q43" i="4"/>
  <c r="P43" i="4"/>
  <c r="Z42" i="4"/>
  <c r="Y42" i="4"/>
  <c r="V42" i="4"/>
  <c r="U42" i="4"/>
  <c r="S42" i="4"/>
  <c r="R42" i="4"/>
  <c r="Q42" i="4"/>
  <c r="P42" i="4"/>
  <c r="Z41" i="4"/>
  <c r="Y41" i="4"/>
  <c r="V41" i="4"/>
  <c r="U41" i="4"/>
  <c r="S41" i="4"/>
  <c r="R41" i="4"/>
  <c r="Q41" i="4"/>
  <c r="P41" i="4"/>
  <c r="Z40" i="4"/>
  <c r="Y40" i="4"/>
  <c r="V40" i="4"/>
  <c r="U40" i="4"/>
  <c r="S40" i="4"/>
  <c r="R40" i="4"/>
  <c r="Q40" i="4"/>
  <c r="P40" i="4"/>
  <c r="Z39" i="4"/>
  <c r="Y39" i="4"/>
  <c r="V39" i="4"/>
  <c r="U39" i="4"/>
  <c r="S39" i="4"/>
  <c r="R39" i="4"/>
  <c r="Q39" i="4"/>
  <c r="P39" i="4"/>
  <c r="Z38" i="4"/>
  <c r="Y38" i="4"/>
  <c r="V38" i="4"/>
  <c r="U38" i="4"/>
  <c r="S38" i="4"/>
  <c r="R38" i="4"/>
  <c r="Q38" i="4"/>
  <c r="P38" i="4"/>
  <c r="Z37" i="4"/>
  <c r="Y37" i="4"/>
  <c r="V37" i="4"/>
  <c r="U37" i="4"/>
  <c r="S37" i="4"/>
  <c r="R37" i="4"/>
  <c r="Q37" i="4"/>
  <c r="P37" i="4"/>
  <c r="Z36" i="4"/>
  <c r="Y36" i="4"/>
  <c r="V36" i="4"/>
  <c r="U36" i="4"/>
  <c r="S36" i="4"/>
  <c r="R36" i="4"/>
  <c r="Q36" i="4"/>
  <c r="P36" i="4"/>
  <c r="Z35" i="4"/>
  <c r="Y35" i="4"/>
  <c r="V35" i="4"/>
  <c r="U35" i="4"/>
  <c r="S35" i="4"/>
  <c r="R35" i="4"/>
  <c r="Q35" i="4"/>
  <c r="P35" i="4"/>
  <c r="Z34" i="4"/>
  <c r="Y34" i="4"/>
  <c r="V34" i="4"/>
  <c r="U34" i="4"/>
  <c r="S34" i="4"/>
  <c r="R34" i="4"/>
  <c r="Q34" i="4"/>
  <c r="P34" i="4"/>
  <c r="Z33" i="4"/>
  <c r="Y33" i="4"/>
  <c r="V33" i="4"/>
  <c r="U33" i="4"/>
  <c r="S33" i="4"/>
  <c r="R33" i="4"/>
  <c r="Q33" i="4"/>
  <c r="P33" i="4"/>
  <c r="Z32" i="4"/>
  <c r="Y32" i="4"/>
  <c r="V32" i="4"/>
  <c r="U32" i="4"/>
  <c r="S32" i="4"/>
  <c r="R32" i="4"/>
  <c r="Q32" i="4"/>
  <c r="P32" i="4"/>
  <c r="Z31" i="4"/>
  <c r="Y31" i="4"/>
  <c r="V31" i="4"/>
  <c r="U31" i="4"/>
  <c r="S31" i="4"/>
  <c r="R31" i="4"/>
  <c r="Q31" i="4"/>
  <c r="P31" i="4"/>
  <c r="Z30" i="4"/>
  <c r="Y30" i="4"/>
  <c r="V30" i="4"/>
  <c r="U30" i="4"/>
  <c r="S30" i="4"/>
  <c r="R30" i="4"/>
  <c r="Q30" i="4"/>
  <c r="P30" i="4"/>
  <c r="Z29" i="4"/>
  <c r="Y29" i="4"/>
  <c r="V29" i="4"/>
  <c r="U29" i="4"/>
  <c r="S29" i="4"/>
  <c r="R29" i="4"/>
  <c r="Q29" i="4"/>
  <c r="P29" i="4"/>
  <c r="Z28" i="4"/>
  <c r="Y28" i="4"/>
  <c r="V28" i="4"/>
  <c r="U28" i="4"/>
  <c r="S28" i="4"/>
  <c r="R28" i="4"/>
  <c r="Q28" i="4"/>
  <c r="P28" i="4"/>
  <c r="Z27" i="4"/>
  <c r="Y27" i="4"/>
  <c r="V27" i="4"/>
  <c r="U27" i="4"/>
  <c r="S27" i="4"/>
  <c r="R27" i="4"/>
  <c r="Q27" i="4"/>
  <c r="P27" i="4"/>
  <c r="Z26" i="4"/>
  <c r="Y26" i="4"/>
  <c r="V26" i="4"/>
  <c r="U26" i="4"/>
  <c r="S26" i="4"/>
  <c r="R26" i="4"/>
  <c r="Q26" i="4"/>
  <c r="P26" i="4"/>
  <c r="Z25" i="4"/>
  <c r="Y25" i="4"/>
  <c r="V25" i="4"/>
  <c r="U25" i="4"/>
  <c r="S25" i="4"/>
  <c r="R25" i="4"/>
  <c r="Q25" i="4"/>
  <c r="P25" i="4"/>
  <c r="Z24" i="4"/>
  <c r="Y24" i="4"/>
  <c r="V24" i="4"/>
  <c r="U24" i="4"/>
  <c r="S24" i="4"/>
  <c r="R24" i="4"/>
  <c r="Q24" i="4"/>
  <c r="P24" i="4"/>
  <c r="Z23" i="4"/>
  <c r="Y23" i="4"/>
  <c r="V23" i="4"/>
  <c r="U23" i="4"/>
  <c r="S23" i="4"/>
  <c r="R23" i="4"/>
  <c r="Q23" i="4"/>
  <c r="P23" i="4"/>
  <c r="Z22" i="4"/>
  <c r="Y22" i="4"/>
  <c r="V22" i="4"/>
  <c r="U22" i="4"/>
  <c r="S22" i="4"/>
  <c r="R22" i="4"/>
  <c r="Q22" i="4"/>
  <c r="P22" i="4"/>
  <c r="Z21" i="4"/>
  <c r="Y21" i="4"/>
  <c r="V21" i="4"/>
  <c r="U21" i="4"/>
  <c r="S21" i="4"/>
  <c r="R21" i="4"/>
  <c r="Q21" i="4"/>
  <c r="P21" i="4"/>
  <c r="Z20" i="4"/>
  <c r="Y20" i="4"/>
  <c r="V20" i="4"/>
  <c r="U20" i="4"/>
  <c r="S20" i="4"/>
  <c r="R20" i="4"/>
  <c r="Q20" i="4"/>
  <c r="P20" i="4"/>
  <c r="Z19" i="4"/>
  <c r="Y19" i="4"/>
  <c r="V19" i="4"/>
  <c r="U19" i="4"/>
  <c r="S19" i="4"/>
  <c r="R19" i="4"/>
  <c r="Q19" i="4"/>
  <c r="P19" i="4"/>
  <c r="Z18" i="4"/>
  <c r="Y18" i="4"/>
  <c r="V18" i="4"/>
  <c r="U18" i="4"/>
  <c r="S18" i="4"/>
  <c r="R18" i="4"/>
  <c r="Q18" i="4"/>
  <c r="P18" i="4"/>
  <c r="Z17" i="4"/>
  <c r="Y17" i="4"/>
  <c r="V17" i="4"/>
  <c r="U17" i="4"/>
  <c r="S17" i="4"/>
  <c r="R17" i="4"/>
  <c r="Q17" i="4"/>
  <c r="P17" i="4"/>
  <c r="Z16" i="4"/>
  <c r="Y16" i="4"/>
  <c r="V16" i="4"/>
  <c r="U16" i="4"/>
  <c r="S16" i="4"/>
  <c r="R16" i="4"/>
  <c r="Q16" i="4"/>
  <c r="P16" i="4"/>
  <c r="Z15" i="4"/>
  <c r="Y15" i="4"/>
  <c r="V15" i="4"/>
  <c r="U15" i="4"/>
  <c r="S15" i="4"/>
  <c r="R15" i="4"/>
  <c r="Q15" i="4"/>
  <c r="P15" i="4"/>
  <c r="Z14" i="4"/>
  <c r="Y14" i="4"/>
  <c r="V14" i="4"/>
  <c r="U14" i="4"/>
  <c r="S14" i="4"/>
  <c r="R14" i="4"/>
  <c r="Q14" i="4"/>
  <c r="P14" i="4"/>
  <c r="Z13" i="4"/>
  <c r="Y13" i="4"/>
  <c r="V13" i="4"/>
  <c r="U13" i="4"/>
  <c r="S13" i="4"/>
  <c r="R13" i="4"/>
  <c r="Q13" i="4"/>
  <c r="P13" i="4"/>
  <c r="Z12" i="4"/>
  <c r="Y12" i="4"/>
  <c r="V12" i="4"/>
  <c r="U12" i="4"/>
  <c r="S12" i="4"/>
  <c r="R12" i="4"/>
  <c r="Q12" i="4"/>
  <c r="P12" i="4"/>
  <c r="Z11" i="4"/>
  <c r="Y11" i="4"/>
  <c r="V11" i="4"/>
  <c r="U11" i="4"/>
  <c r="S11" i="4"/>
  <c r="R11" i="4"/>
  <c r="Q11" i="4"/>
  <c r="P11" i="4"/>
  <c r="Z10" i="4"/>
  <c r="Y10" i="4"/>
  <c r="V10" i="4"/>
  <c r="U10" i="4"/>
  <c r="S10" i="4"/>
  <c r="R10" i="4"/>
  <c r="Q10" i="4"/>
  <c r="P10" i="4"/>
  <c r="Z9" i="4"/>
  <c r="Y9" i="4"/>
  <c r="V9" i="4"/>
  <c r="U9" i="4"/>
  <c r="S9" i="4"/>
  <c r="R9" i="4"/>
  <c r="Q9" i="4"/>
  <c r="P9" i="4"/>
  <c r="Z8" i="4"/>
  <c r="Y8" i="4"/>
  <c r="V8" i="4"/>
  <c r="U8" i="4"/>
  <c r="S8" i="4"/>
  <c r="R8" i="4"/>
  <c r="Q8" i="4"/>
  <c r="P8" i="4"/>
  <c r="U7" i="4"/>
  <c r="P7" i="4"/>
  <c r="R7" i="4" s="1"/>
  <c r="U6" i="4"/>
  <c r="P6" i="4"/>
  <c r="R6" i="4" s="1"/>
  <c r="U5" i="4"/>
  <c r="P5" i="4"/>
  <c r="Q5" i="4" s="1"/>
  <c r="E60" i="3"/>
  <c r="E59" i="3"/>
  <c r="E58" i="3"/>
  <c r="E57" i="3"/>
  <c r="E56" i="3"/>
  <c r="E55" i="3"/>
  <c r="E54" i="3"/>
  <c r="E53" i="3"/>
  <c r="E50" i="3"/>
  <c r="F74" i="2" s="1"/>
  <c r="E49" i="3"/>
  <c r="F73" i="2" s="1"/>
  <c r="E48" i="3"/>
  <c r="F72" i="2" s="1"/>
  <c r="E47" i="3"/>
  <c r="F69" i="2" s="1"/>
  <c r="E46" i="3"/>
  <c r="F68" i="2" s="1"/>
  <c r="E45" i="3"/>
  <c r="F67" i="2" s="1"/>
  <c r="E44" i="3"/>
  <c r="F66" i="2" s="1"/>
  <c r="E43" i="3"/>
  <c r="F65" i="2" s="1"/>
  <c r="E42" i="3"/>
  <c r="F62" i="2" s="1"/>
  <c r="E41" i="3"/>
  <c r="F61" i="2" s="1"/>
  <c r="E40" i="3"/>
  <c r="E39" i="3"/>
  <c r="F59" i="2" s="1"/>
  <c r="E38" i="3"/>
  <c r="E37" i="3"/>
  <c r="F55" i="2" s="1"/>
  <c r="E36" i="3"/>
  <c r="F54" i="2" s="1"/>
  <c r="E35" i="3"/>
  <c r="F53" i="2" s="1"/>
  <c r="E34" i="3"/>
  <c r="F50" i="2" s="1"/>
  <c r="E33" i="3"/>
  <c r="F49" i="2" s="1"/>
  <c r="E32" i="3"/>
  <c r="F48" i="2" s="1"/>
  <c r="E31" i="3"/>
  <c r="F47" i="2" s="1"/>
  <c r="E30" i="3"/>
  <c r="F46" i="2" s="1"/>
  <c r="E29" i="3"/>
  <c r="E28" i="3"/>
  <c r="F42" i="2" s="1"/>
  <c r="E27" i="3"/>
  <c r="F41" i="2" s="1"/>
  <c r="E26" i="3"/>
  <c r="F40" i="2" s="1"/>
  <c r="E25" i="3"/>
  <c r="F37" i="2" s="1"/>
  <c r="E24" i="3"/>
  <c r="E23" i="3"/>
  <c r="E22" i="3"/>
  <c r="F32" i="2" s="1"/>
  <c r="E21" i="3"/>
  <c r="F31" i="2" s="1"/>
  <c r="E20" i="3"/>
  <c r="F30" i="2" s="1"/>
  <c r="E19" i="3"/>
  <c r="F29" i="2" s="1"/>
  <c r="E18" i="3"/>
  <c r="F28" i="2" s="1"/>
  <c r="F14" i="3"/>
  <c r="G14" i="3" s="1"/>
  <c r="D100" i="2"/>
  <c r="E74" i="2"/>
  <c r="D74" i="2"/>
  <c r="E73" i="2"/>
  <c r="D73" i="2"/>
  <c r="E72" i="2"/>
  <c r="D72" i="2"/>
  <c r="G96" i="2" s="1"/>
  <c r="E69" i="2"/>
  <c r="D69" i="2"/>
  <c r="G97" i="2" s="1"/>
  <c r="E68" i="2"/>
  <c r="D68" i="2"/>
  <c r="E67" i="2"/>
  <c r="D67" i="2"/>
  <c r="E66" i="2"/>
  <c r="D66" i="2"/>
  <c r="E65" i="2"/>
  <c r="D65" i="2"/>
  <c r="E62" i="2"/>
  <c r="D62" i="2"/>
  <c r="E61" i="2"/>
  <c r="D61" i="2"/>
  <c r="F60" i="2"/>
  <c r="E60" i="2"/>
  <c r="D60" i="2"/>
  <c r="E59" i="2"/>
  <c r="D59" i="2"/>
  <c r="G59" i="2" s="1"/>
  <c r="F56" i="2"/>
  <c r="E56" i="2"/>
  <c r="D56" i="2"/>
  <c r="E55" i="2"/>
  <c r="D55" i="2"/>
  <c r="E54" i="2"/>
  <c r="D54" i="2"/>
  <c r="G92" i="2" s="1"/>
  <c r="C54" i="2"/>
  <c r="E53" i="2"/>
  <c r="D53" i="2"/>
  <c r="E50" i="2"/>
  <c r="D50" i="2"/>
  <c r="E49" i="2"/>
  <c r="D49" i="2"/>
  <c r="E48" i="2"/>
  <c r="D48" i="2"/>
  <c r="G48" i="2" s="1"/>
  <c r="E47" i="2"/>
  <c r="D47" i="2"/>
  <c r="G47" i="2" s="1"/>
  <c r="E46" i="2"/>
  <c r="D46" i="2"/>
  <c r="G89" i="2" s="1"/>
  <c r="F43" i="2"/>
  <c r="E43" i="2"/>
  <c r="D43" i="2"/>
  <c r="E42" i="2"/>
  <c r="D42" i="2"/>
  <c r="G42" i="2" s="1"/>
  <c r="E41" i="2"/>
  <c r="D41" i="2"/>
  <c r="G41" i="2" s="1"/>
  <c r="E40" i="2"/>
  <c r="D40" i="2"/>
  <c r="G40" i="2" s="1"/>
  <c r="E37" i="2"/>
  <c r="D37" i="2"/>
  <c r="G37" i="2" s="1"/>
  <c r="F36" i="2"/>
  <c r="E36" i="2"/>
  <c r="D36" i="2"/>
  <c r="C36" i="2"/>
  <c r="F35" i="2"/>
  <c r="E35" i="2"/>
  <c r="D35" i="2"/>
  <c r="E32" i="2"/>
  <c r="D32" i="2"/>
  <c r="E31" i="2"/>
  <c r="D31" i="2"/>
  <c r="C31" i="2"/>
  <c r="E30" i="2"/>
  <c r="E29" i="2"/>
  <c r="D29" i="2"/>
  <c r="E28" i="2"/>
  <c r="D28" i="2"/>
  <c r="C28" i="2"/>
  <c r="C9" i="2"/>
  <c r="G9" i="2" s="1"/>
  <c r="S7" i="4" l="1"/>
  <c r="Y7" i="4" s="1"/>
  <c r="Z7" i="4" s="1"/>
  <c r="V7" i="4"/>
  <c r="Q7" i="4"/>
  <c r="S6" i="4"/>
  <c r="Y6" i="4" s="1"/>
  <c r="V6" i="4"/>
  <c r="I5" i="6"/>
  <c r="Q6" i="4"/>
  <c r="G50" i="2"/>
  <c r="G73" i="2"/>
  <c r="G53" i="2"/>
  <c r="G49" i="2"/>
  <c r="G74" i="2"/>
  <c r="G61" i="2"/>
  <c r="G32" i="2"/>
  <c r="R5" i="4"/>
  <c r="D9" i="6" s="1"/>
  <c r="E9" i="6" s="1"/>
  <c r="V5" i="4"/>
  <c r="S5" i="4"/>
  <c r="Y5" i="4" s="1"/>
  <c r="G60" i="2"/>
  <c r="G63" i="2" s="1"/>
  <c r="G62" i="2"/>
  <c r="G65" i="2"/>
  <c r="G35" i="2"/>
  <c r="G67" i="2"/>
  <c r="G56" i="2"/>
  <c r="G68" i="2"/>
  <c r="G43" i="2"/>
  <c r="G44" i="2" s="1"/>
  <c r="I6" i="7"/>
  <c r="G90" i="2"/>
  <c r="G36" i="2"/>
  <c r="G31" i="2"/>
  <c r="G28" i="2"/>
  <c r="G30" i="2"/>
  <c r="G94" i="2"/>
  <c r="G69" i="2"/>
  <c r="F82" i="2"/>
  <c r="G88" i="2" s="1"/>
  <c r="G95" i="2"/>
  <c r="G54" i="2"/>
  <c r="G66" i="2"/>
  <c r="G91" i="2"/>
  <c r="G29" i="2"/>
  <c r="E51" i="3"/>
  <c r="G46" i="2"/>
  <c r="G93" i="2"/>
  <c r="G55" i="2"/>
  <c r="G72" i="2"/>
  <c r="G75" i="2" s="1"/>
  <c r="Z6" i="4" l="1"/>
  <c r="G51" i="2"/>
  <c r="F84" i="2" s="1"/>
  <c r="D106" i="2" s="1"/>
  <c r="Z5" i="4"/>
  <c r="L11" i="5" s="1"/>
  <c r="D18" i="6"/>
  <c r="E18" i="6" s="1"/>
  <c r="D19" i="6"/>
  <c r="E19" i="6" s="1"/>
  <c r="D17" i="6"/>
  <c r="E17" i="6" s="1"/>
  <c r="F73" i="5"/>
  <c r="B139" i="5"/>
  <c r="F126" i="5"/>
  <c r="M14" i="5"/>
  <c r="N43" i="5"/>
  <c r="B42" i="5"/>
  <c r="M119" i="5"/>
  <c r="I116" i="5"/>
  <c r="D10" i="6"/>
  <c r="E10" i="6" s="1"/>
  <c r="D12" i="6"/>
  <c r="E12" i="6" s="1"/>
  <c r="D13" i="6"/>
  <c r="E13" i="6" s="1"/>
  <c r="D11" i="6"/>
  <c r="E11" i="6" s="1"/>
  <c r="J119" i="5"/>
  <c r="L77" i="5"/>
  <c r="J125" i="5"/>
  <c r="B72" i="5"/>
  <c r="D58" i="5"/>
  <c r="D63" i="5"/>
  <c r="F32" i="5"/>
  <c r="C123" i="5"/>
  <c r="I24" i="5"/>
  <c r="D50" i="5"/>
  <c r="L27" i="5"/>
  <c r="M21" i="5"/>
  <c r="F61" i="5"/>
  <c r="K68" i="5"/>
  <c r="E148" i="5"/>
  <c r="F37" i="5"/>
  <c r="O151" i="5"/>
  <c r="K87" i="5"/>
  <c r="E37" i="5"/>
  <c r="N53" i="5"/>
  <c r="E65" i="5"/>
  <c r="I47" i="5"/>
  <c r="J126" i="5"/>
  <c r="L35" i="5"/>
  <c r="J148" i="5"/>
  <c r="K35" i="5"/>
  <c r="I135" i="5"/>
  <c r="C43" i="5"/>
  <c r="D81" i="5"/>
  <c r="C72" i="5"/>
  <c r="C81" i="5"/>
  <c r="O33" i="5"/>
  <c r="B123" i="5"/>
  <c r="L49" i="5"/>
  <c r="E132" i="5"/>
  <c r="L15" i="5"/>
  <c r="O36" i="5"/>
  <c r="C29" i="5"/>
  <c r="J33" i="5"/>
  <c r="F119" i="5"/>
  <c r="N18" i="5"/>
  <c r="F116" i="5"/>
  <c r="L68" i="5"/>
  <c r="I17" i="5"/>
  <c r="O7" i="5"/>
  <c r="F24" i="5"/>
  <c r="N50" i="5"/>
  <c r="J121" i="5"/>
  <c r="C54" i="5"/>
  <c r="L129" i="5"/>
  <c r="G106" i="5"/>
  <c r="B26" i="5"/>
  <c r="K109" i="5"/>
  <c r="J17" i="5"/>
  <c r="G154" i="5"/>
  <c r="D97" i="5"/>
  <c r="N11" i="5"/>
  <c r="J151" i="5"/>
  <c r="I109" i="5"/>
  <c r="B66" i="5"/>
  <c r="H17" i="5"/>
  <c r="N14" i="5"/>
  <c r="I100" i="5"/>
  <c r="B44" i="5"/>
  <c r="E9" i="5"/>
  <c r="O62" i="5"/>
  <c r="C16" i="5"/>
  <c r="M128" i="5"/>
  <c r="G149" i="5"/>
  <c r="E16" i="5"/>
  <c r="I10" i="5"/>
  <c r="M87" i="5"/>
  <c r="G13" i="5"/>
  <c r="C97" i="5"/>
  <c r="C8" i="5"/>
  <c r="H60" i="5"/>
  <c r="M11" i="5"/>
  <c r="H99" i="5"/>
  <c r="H65" i="5"/>
  <c r="N47" i="5"/>
  <c r="M47" i="5"/>
  <c r="D148" i="5"/>
  <c r="F139" i="5"/>
  <c r="H84" i="5"/>
  <c r="L40" i="5"/>
  <c r="O11" i="5"/>
  <c r="N93" i="5"/>
  <c r="K40" i="5"/>
  <c r="H10" i="5"/>
  <c r="J49" i="5"/>
  <c r="B87" i="5"/>
  <c r="B111" i="5"/>
  <c r="B49" i="5"/>
  <c r="D9" i="5"/>
  <c r="B103" i="5"/>
  <c r="G35" i="5"/>
  <c r="J109" i="5"/>
  <c r="O22" i="5"/>
  <c r="G45" i="5"/>
  <c r="M30" i="5"/>
  <c r="M5" i="5"/>
  <c r="M96" i="5"/>
  <c r="D32" i="5"/>
  <c r="D106" i="5"/>
  <c r="H21" i="5"/>
  <c r="J43" i="5"/>
  <c r="L94" i="5"/>
  <c r="N52" i="5"/>
  <c r="D29" i="5"/>
  <c r="M151" i="5"/>
  <c r="N6" i="5"/>
  <c r="L96" i="5"/>
  <c r="I30" i="5"/>
  <c r="E121" i="5"/>
  <c r="N95" i="5"/>
  <c r="C113" i="5"/>
  <c r="N33" i="5"/>
  <c r="I99" i="5"/>
  <c r="G21" i="5"/>
  <c r="F109" i="5"/>
  <c r="D66" i="5"/>
  <c r="I60" i="5"/>
  <c r="K27" i="5"/>
  <c r="E145" i="5"/>
  <c r="O25" i="5"/>
  <c r="K18" i="5"/>
  <c r="L125" i="5"/>
  <c r="N113" i="5"/>
  <c r="G63" i="5"/>
  <c r="G32" i="5"/>
  <c r="F9" i="5"/>
  <c r="M109" i="5"/>
  <c r="N141" i="5"/>
  <c r="N74" i="5"/>
  <c r="E32" i="5"/>
  <c r="K96" i="5"/>
  <c r="E138" i="5"/>
  <c r="O19" i="5"/>
  <c r="L24" i="5"/>
  <c r="L113" i="5"/>
  <c r="N30" i="5"/>
  <c r="D8" i="5"/>
  <c r="D107" i="5"/>
  <c r="O135" i="5"/>
  <c r="L71" i="5"/>
  <c r="J30" i="5"/>
  <c r="F93" i="5"/>
  <c r="M134" i="5"/>
  <c r="J18" i="5"/>
  <c r="B27" i="5"/>
  <c r="C120" i="5"/>
  <c r="M57" i="5"/>
  <c r="F17" i="5"/>
  <c r="E74" i="5"/>
  <c r="J71" i="5"/>
  <c r="J124" i="5"/>
  <c r="H71" i="5"/>
  <c r="O15" i="5"/>
  <c r="F68" i="5"/>
  <c r="J11" i="5"/>
  <c r="H101" i="5"/>
  <c r="J77" i="5"/>
  <c r="J78" i="5"/>
  <c r="J68" i="5"/>
  <c r="I27" i="5"/>
  <c r="B9" i="5"/>
  <c r="D65" i="5"/>
  <c r="E10" i="5"/>
  <c r="L51" i="5"/>
  <c r="N7" i="5"/>
  <c r="I55" i="5"/>
  <c r="I5" i="5"/>
  <c r="K112" i="5"/>
  <c r="K95" i="5"/>
  <c r="J131" i="5"/>
  <c r="N5" i="5"/>
  <c r="E26" i="5"/>
  <c r="F148" i="5"/>
  <c r="M93" i="5"/>
  <c r="G60" i="5"/>
  <c r="G24" i="5"/>
  <c r="E116" i="5"/>
  <c r="I49" i="5"/>
  <c r="L6" i="5"/>
  <c r="H53" i="5"/>
  <c r="H37" i="5"/>
  <c r="N114" i="5"/>
  <c r="C84" i="5"/>
  <c r="G40" i="5"/>
  <c r="D13" i="5"/>
  <c r="M112" i="5"/>
  <c r="J47" i="5"/>
  <c r="J5" i="5"/>
  <c r="K51" i="5"/>
  <c r="K38" i="5"/>
  <c r="L116" i="5"/>
  <c r="H106" i="5"/>
  <c r="I77" i="5"/>
  <c r="L26" i="5"/>
  <c r="B63" i="5"/>
  <c r="N145" i="5"/>
  <c r="G138" i="5"/>
  <c r="F74" i="5"/>
  <c r="C32" i="5"/>
  <c r="F154" i="5"/>
  <c r="O89" i="5"/>
  <c r="B40" i="5"/>
  <c r="D30" i="5"/>
  <c r="O64" i="5"/>
  <c r="M117" i="5"/>
  <c r="B104" i="5"/>
  <c r="C20" i="5"/>
  <c r="I151" i="5"/>
  <c r="J86" i="5"/>
  <c r="H38" i="5"/>
  <c r="F31" i="5"/>
  <c r="N70" i="5"/>
  <c r="L16" i="5"/>
  <c r="I108" i="5"/>
  <c r="E122" i="5"/>
  <c r="B148" i="5"/>
  <c r="F83" i="5"/>
  <c r="D35" i="5"/>
  <c r="O152" i="5"/>
  <c r="G133" i="5"/>
  <c r="H117" i="5"/>
  <c r="G90" i="5"/>
  <c r="L47" i="5"/>
  <c r="L21" i="5"/>
  <c r="C145" i="5"/>
  <c r="L93" i="5"/>
  <c r="I125" i="5"/>
  <c r="M62" i="5"/>
  <c r="H27" i="5"/>
  <c r="M33" i="5"/>
  <c r="C75" i="5"/>
  <c r="H22" i="5"/>
  <c r="M77" i="5"/>
  <c r="K135" i="5"/>
  <c r="F122" i="5"/>
  <c r="B46" i="5"/>
  <c r="F20" i="5"/>
  <c r="L45" i="5"/>
  <c r="E20" i="5"/>
  <c r="J141" i="5"/>
  <c r="N122" i="5"/>
  <c r="C60" i="5"/>
  <c r="M25" i="5"/>
  <c r="H141" i="5"/>
  <c r="L76" i="5"/>
  <c r="G27" i="5"/>
  <c r="E36" i="5"/>
  <c r="H79" i="5"/>
  <c r="G91" i="5"/>
  <c r="I127" i="5"/>
  <c r="O8" i="5"/>
  <c r="N32" i="5"/>
  <c r="L119" i="5"/>
  <c r="F142" i="5"/>
  <c r="O137" i="5"/>
  <c r="M136" i="5"/>
  <c r="M60" i="5"/>
  <c r="G70" i="5"/>
  <c r="D130" i="5"/>
  <c r="G146" i="5"/>
  <c r="B17" i="5"/>
  <c r="K141" i="5"/>
  <c r="K131" i="5"/>
  <c r="F81" i="5"/>
  <c r="D139" i="5"/>
  <c r="N42" i="5"/>
  <c r="E124" i="5"/>
  <c r="I21" i="5"/>
  <c r="H20" i="5"/>
  <c r="B145" i="5"/>
  <c r="M132" i="5"/>
  <c r="H49" i="5"/>
  <c r="I83" i="5"/>
  <c r="J143" i="5"/>
  <c r="B47" i="5"/>
  <c r="D26" i="5"/>
  <c r="N146" i="5"/>
  <c r="O133" i="5"/>
  <c r="M49" i="5"/>
  <c r="F137" i="5"/>
  <c r="N31" i="5"/>
  <c r="E62" i="5"/>
  <c r="G148" i="5"/>
  <c r="D40" i="5"/>
  <c r="G14" i="5"/>
  <c r="M118" i="5"/>
  <c r="L59" i="5"/>
  <c r="E52" i="5"/>
  <c r="E90" i="5"/>
  <c r="C148" i="5"/>
  <c r="J52" i="5"/>
  <c r="I139" i="5"/>
  <c r="H40" i="5"/>
  <c r="F78" i="5"/>
  <c r="N149" i="5"/>
  <c r="L43" i="5"/>
  <c r="G17" i="5"/>
  <c r="D132" i="5"/>
  <c r="F77" i="5"/>
  <c r="D112" i="5"/>
  <c r="L57" i="5"/>
  <c r="E24" i="5"/>
  <c r="B29" i="5"/>
  <c r="J53" i="5"/>
  <c r="I92" i="5"/>
  <c r="B11" i="5"/>
  <c r="B54" i="5"/>
  <c r="D89" i="5"/>
  <c r="O111" i="5"/>
  <c r="L91" i="5"/>
  <c r="H73" i="5"/>
  <c r="K55" i="5"/>
  <c r="F27" i="5"/>
  <c r="C129" i="5"/>
  <c r="M45" i="5"/>
  <c r="G132" i="5"/>
  <c r="H105" i="5"/>
  <c r="E60" i="5"/>
  <c r="J29" i="5"/>
  <c r="B60" i="5"/>
  <c r="M123" i="5"/>
  <c r="I94" i="5"/>
  <c r="F150" i="5"/>
  <c r="J48" i="5"/>
  <c r="K148" i="5"/>
  <c r="N63" i="5"/>
  <c r="D33" i="5"/>
  <c r="G59" i="5"/>
  <c r="F90" i="5"/>
  <c r="K71" i="5"/>
  <c r="O124" i="5"/>
  <c r="F84" i="5"/>
  <c r="I58" i="5"/>
  <c r="G12" i="5"/>
  <c r="L86" i="5"/>
  <c r="I95" i="5"/>
  <c r="E76" i="5"/>
  <c r="J97" i="5"/>
  <c r="M71" i="5"/>
  <c r="I13" i="5"/>
  <c r="D100" i="5"/>
  <c r="B38" i="5"/>
  <c r="E66" i="5"/>
  <c r="B101" i="5"/>
  <c r="B32" i="5"/>
  <c r="M7" i="5"/>
  <c r="D41" i="5"/>
  <c r="F13" i="5"/>
  <c r="D44" i="5"/>
  <c r="L88" i="5"/>
  <c r="M73" i="5"/>
  <c r="M15" i="5"/>
  <c r="H102" i="5"/>
  <c r="O45" i="5"/>
  <c r="G69" i="5"/>
  <c r="D102" i="5"/>
  <c r="L65" i="5"/>
  <c r="L33" i="5"/>
  <c r="G10" i="5"/>
  <c r="E35" i="5"/>
  <c r="F10" i="5"/>
  <c r="D116" i="5"/>
  <c r="K62" i="5"/>
  <c r="F30" i="5"/>
  <c r="K6" i="5"/>
  <c r="I42" i="5"/>
  <c r="N68" i="5"/>
  <c r="I45" i="5"/>
  <c r="M101" i="5"/>
  <c r="L75" i="5"/>
  <c r="E19" i="5"/>
  <c r="M70" i="5"/>
  <c r="N101" i="5"/>
  <c r="H94" i="5"/>
  <c r="B109" i="5"/>
  <c r="F46" i="5"/>
  <c r="H83" i="5"/>
  <c r="G42" i="5"/>
  <c r="L128" i="5"/>
  <c r="J98" i="5"/>
  <c r="H120" i="5"/>
  <c r="J99" i="5"/>
  <c r="D47" i="5"/>
  <c r="N65" i="5"/>
  <c r="B151" i="5"/>
  <c r="C50" i="5"/>
  <c r="F131" i="5"/>
  <c r="B92" i="5"/>
  <c r="E49" i="5"/>
  <c r="I148" i="5"/>
  <c r="L135" i="5"/>
  <c r="F127" i="5"/>
  <c r="L52" i="5"/>
  <c r="J67" i="5"/>
  <c r="D153" i="5"/>
  <c r="I93" i="5"/>
  <c r="I51" i="5"/>
  <c r="N151" i="5"/>
  <c r="D149" i="5"/>
  <c r="O69" i="5"/>
  <c r="O68" i="5"/>
  <c r="D134" i="5"/>
  <c r="C104" i="5"/>
  <c r="O24" i="5"/>
  <c r="B80" i="5"/>
  <c r="F11" i="5"/>
  <c r="D57" i="5"/>
  <c r="B95" i="5"/>
  <c r="M53" i="5"/>
  <c r="L153" i="5"/>
  <c r="I32" i="5"/>
  <c r="G73" i="5"/>
  <c r="C70" i="5"/>
  <c r="I104" i="5"/>
  <c r="O56" i="5"/>
  <c r="H124" i="5"/>
  <c r="F82" i="5"/>
  <c r="L14" i="5"/>
  <c r="F60" i="5"/>
  <c r="E149" i="5"/>
  <c r="N96" i="5"/>
  <c r="I57" i="5"/>
  <c r="C45" i="5"/>
  <c r="M76" i="5"/>
  <c r="M75" i="5"/>
  <c r="K105" i="5"/>
  <c r="I44" i="5"/>
  <c r="F110" i="5"/>
  <c r="C74" i="5"/>
  <c r="K58" i="5"/>
  <c r="O77" i="5"/>
  <c r="K82" i="5"/>
  <c r="N143" i="5"/>
  <c r="K11" i="5"/>
  <c r="C122" i="5"/>
  <c r="N36" i="5"/>
  <c r="O12" i="5"/>
  <c r="B35" i="5"/>
  <c r="H56" i="5"/>
  <c r="B88" i="5"/>
  <c r="H132" i="5"/>
  <c r="N25" i="5"/>
  <c r="M56" i="5"/>
  <c r="B113" i="5"/>
  <c r="D131" i="5"/>
  <c r="F34" i="5"/>
  <c r="H93" i="5"/>
  <c r="D18" i="5"/>
  <c r="O71" i="5"/>
  <c r="D115" i="5"/>
  <c r="I75" i="5"/>
  <c r="F65" i="5"/>
  <c r="C53" i="5"/>
  <c r="C79" i="5"/>
  <c r="E87" i="5"/>
  <c r="L124" i="5"/>
  <c r="I117" i="5"/>
  <c r="I67" i="5"/>
  <c r="O37" i="5"/>
  <c r="B98" i="5"/>
  <c r="F19" i="5"/>
  <c r="B74" i="5"/>
  <c r="C49" i="5"/>
  <c r="E77" i="5"/>
  <c r="M69" i="5"/>
  <c r="E54" i="5"/>
  <c r="M84" i="5"/>
  <c r="C94" i="5"/>
  <c r="F105" i="5"/>
  <c r="G57" i="5"/>
  <c r="B79" i="5"/>
  <c r="K33" i="5"/>
  <c r="C103" i="5"/>
  <c r="N108" i="5"/>
  <c r="K130" i="5"/>
  <c r="C69" i="5"/>
  <c r="J28" i="5"/>
  <c r="M34" i="5"/>
  <c r="D101" i="5"/>
  <c r="G113" i="5"/>
  <c r="B110" i="5"/>
  <c r="I137" i="5"/>
  <c r="K81" i="5"/>
  <c r="I22" i="5"/>
  <c r="E31" i="5"/>
  <c r="D117" i="5"/>
  <c r="O35" i="5"/>
  <c r="K102" i="5"/>
  <c r="I114" i="5"/>
  <c r="D111" i="5"/>
  <c r="O140" i="5"/>
  <c r="K39" i="5"/>
  <c r="K84" i="5"/>
  <c r="O47" i="5"/>
  <c r="C105" i="5"/>
  <c r="K52" i="5"/>
  <c r="N126" i="5"/>
  <c r="K100" i="5"/>
  <c r="K41" i="5"/>
  <c r="N110" i="5"/>
  <c r="N116" i="5"/>
  <c r="E143" i="5"/>
  <c r="G87" i="5"/>
  <c r="O29" i="5"/>
  <c r="M29" i="5"/>
  <c r="H145" i="5"/>
  <c r="B61" i="5"/>
  <c r="C93" i="5"/>
  <c r="O23" i="5"/>
  <c r="L60" i="5"/>
  <c r="E130" i="5"/>
  <c r="N105" i="5"/>
  <c r="I48" i="5"/>
  <c r="M125" i="5"/>
  <c r="H153" i="5"/>
  <c r="H64" i="5"/>
  <c r="O99" i="5"/>
  <c r="G15" i="5"/>
  <c r="O128" i="5"/>
  <c r="J93" i="5"/>
  <c r="O55" i="5"/>
  <c r="B120" i="5"/>
  <c r="I69" i="5"/>
  <c r="H138" i="5"/>
  <c r="G107" i="5"/>
  <c r="M50" i="5"/>
  <c r="J142" i="5"/>
  <c r="E128" i="5"/>
  <c r="J65" i="5"/>
  <c r="G103" i="5"/>
  <c r="E5" i="5"/>
  <c r="F66" i="5"/>
  <c r="O120" i="5"/>
  <c r="K139" i="5"/>
  <c r="D127" i="5"/>
  <c r="O100" i="5"/>
  <c r="L66" i="5"/>
  <c r="J137" i="5"/>
  <c r="G111" i="5"/>
  <c r="C14" i="5"/>
  <c r="B22" i="5"/>
  <c r="G43" i="5"/>
  <c r="I146" i="5"/>
  <c r="H129" i="5"/>
  <c r="G104" i="5"/>
  <c r="H72" i="5"/>
  <c r="L138" i="5"/>
  <c r="H6" i="5"/>
  <c r="D82" i="5"/>
  <c r="J136" i="5"/>
  <c r="K127" i="5"/>
  <c r="E96" i="5"/>
  <c r="O149" i="5"/>
  <c r="D135" i="5"/>
  <c r="I105" i="5"/>
  <c r="F79" i="5"/>
  <c r="O123" i="5"/>
  <c r="M127" i="5"/>
  <c r="C15" i="5"/>
  <c r="L103" i="5"/>
  <c r="G74" i="5"/>
  <c r="C64" i="5"/>
  <c r="L137" i="5"/>
  <c r="G97" i="5"/>
  <c r="C151" i="5"/>
  <c r="B142" i="5"/>
  <c r="K106" i="5"/>
  <c r="L82" i="5"/>
  <c r="J145" i="5"/>
  <c r="K129" i="5"/>
  <c r="J95" i="5"/>
  <c r="O17" i="5"/>
  <c r="G112" i="5"/>
  <c r="N83" i="5"/>
  <c r="H152" i="5"/>
  <c r="I136" i="5"/>
  <c r="E34" i="5"/>
  <c r="C73" i="5"/>
  <c r="H147" i="5"/>
  <c r="I106" i="5"/>
  <c r="F80" i="5"/>
  <c r="J146" i="5"/>
  <c r="E119" i="5"/>
  <c r="B85" i="5"/>
  <c r="M66" i="5"/>
  <c r="E142" i="5"/>
  <c r="E59" i="5"/>
  <c r="C5" i="5"/>
  <c r="B5" i="5"/>
  <c r="L69" i="5"/>
  <c r="C140" i="5"/>
  <c r="B107" i="5"/>
  <c r="C57" i="5"/>
  <c r="I118" i="5"/>
  <c r="O54" i="5"/>
  <c r="B122" i="5"/>
  <c r="G82" i="5"/>
  <c r="B154" i="5"/>
  <c r="J74" i="5"/>
  <c r="K152" i="5"/>
  <c r="O109" i="5"/>
  <c r="D87" i="5"/>
  <c r="L147" i="5"/>
  <c r="K122" i="5"/>
  <c r="L90" i="5"/>
  <c r="O67" i="5"/>
  <c r="O50" i="5"/>
  <c r="H8" i="5"/>
  <c r="E118" i="5"/>
  <c r="D38" i="5"/>
  <c r="I7" i="5"/>
  <c r="D146" i="5"/>
  <c r="K28" i="5"/>
  <c r="M149" i="5"/>
  <c r="H5" i="5"/>
  <c r="I62" i="5"/>
  <c r="L58" i="5"/>
  <c r="M126" i="5"/>
  <c r="L67" i="5"/>
  <c r="G123" i="5"/>
  <c r="B65" i="5"/>
  <c r="N80" i="5"/>
  <c r="O143" i="5"/>
  <c r="I68" i="5"/>
  <c r="D129" i="5"/>
  <c r="C95" i="5"/>
  <c r="C143" i="5"/>
  <c r="L123" i="5"/>
  <c r="C86" i="5"/>
  <c r="C142" i="5"/>
  <c r="F103" i="5"/>
  <c r="M74" i="5"/>
  <c r="C141" i="5"/>
  <c r="E147" i="5"/>
  <c r="D114" i="5"/>
  <c r="J127" i="5"/>
  <c r="K113" i="5"/>
  <c r="F128" i="5"/>
  <c r="G88" i="5"/>
  <c r="O148" i="5"/>
  <c r="N115" i="5"/>
  <c r="C85" i="5"/>
  <c r="O147" i="5"/>
  <c r="F108" i="5"/>
  <c r="F25" i="5"/>
  <c r="F39" i="5"/>
  <c r="L73" i="5"/>
  <c r="G16" i="5"/>
  <c r="L83" i="5"/>
  <c r="B102" i="5"/>
  <c r="F120" i="5"/>
  <c r="O60" i="5"/>
  <c r="E79" i="5"/>
  <c r="I97" i="5"/>
  <c r="M115" i="5"/>
  <c r="C134" i="5"/>
  <c r="G152" i="5"/>
  <c r="N75" i="5"/>
  <c r="D94" i="5"/>
  <c r="H112" i="5"/>
  <c r="L130" i="5"/>
  <c r="B149" i="5"/>
  <c r="E78" i="5"/>
  <c r="I96" i="5"/>
  <c r="M114" i="5"/>
  <c r="C133" i="5"/>
  <c r="B115" i="5"/>
  <c r="L64" i="5"/>
  <c r="F33" i="5"/>
  <c r="N9" i="5"/>
  <c r="G118" i="5"/>
  <c r="F67" i="5"/>
  <c r="L34" i="5"/>
  <c r="D11" i="5"/>
  <c r="J91" i="5"/>
  <c r="I12" i="5"/>
  <c r="O42" i="5"/>
  <c r="N87" i="5"/>
  <c r="I37" i="5"/>
  <c r="J39" i="5"/>
  <c r="D98" i="5"/>
  <c r="L13" i="5"/>
  <c r="H18" i="5"/>
  <c r="F134" i="5"/>
  <c r="K76" i="5"/>
  <c r="K110" i="5"/>
  <c r="I23" i="5"/>
  <c r="E85" i="5"/>
  <c r="B144" i="5"/>
  <c r="M63" i="5"/>
  <c r="O97" i="5"/>
  <c r="F133" i="5"/>
  <c r="O16" i="5"/>
  <c r="I35" i="5"/>
  <c r="B57" i="5"/>
  <c r="B89" i="5"/>
  <c r="H12" i="5"/>
  <c r="L30" i="5"/>
  <c r="J51" i="5"/>
  <c r="D80" i="5"/>
  <c r="B116" i="5"/>
  <c r="H151" i="5"/>
  <c r="J60" i="5"/>
  <c r="F85" i="5"/>
  <c r="M111" i="5"/>
  <c r="F138" i="5"/>
  <c r="O46" i="5"/>
  <c r="G66" i="5"/>
  <c r="D92" i="5"/>
  <c r="K118" i="5"/>
  <c r="D145" i="5"/>
  <c r="F97" i="5"/>
  <c r="D124" i="5"/>
  <c r="K150" i="5"/>
  <c r="E46" i="5"/>
  <c r="K65" i="5"/>
  <c r="C91" i="5"/>
  <c r="J117" i="5"/>
  <c r="C144" i="5"/>
  <c r="C71" i="5"/>
  <c r="G89" i="5"/>
  <c r="K107" i="5"/>
  <c r="O125" i="5"/>
  <c r="E144" i="5"/>
  <c r="N84" i="5"/>
  <c r="D103" i="5"/>
  <c r="L139" i="5"/>
  <c r="C62" i="5"/>
  <c r="G80" i="5"/>
  <c r="K98" i="5"/>
  <c r="O116" i="5"/>
  <c r="E135" i="5"/>
  <c r="I153" i="5"/>
  <c r="B77" i="5"/>
  <c r="F95" i="5"/>
  <c r="J113" i="5"/>
  <c r="N131" i="5"/>
  <c r="D150" i="5"/>
  <c r="G79" i="5"/>
  <c r="K97" i="5"/>
  <c r="O115" i="5"/>
  <c r="I152" i="5"/>
  <c r="N111" i="5"/>
  <c r="G62" i="5"/>
  <c r="J31" i="5"/>
  <c r="L8" i="5"/>
  <c r="O114" i="5"/>
  <c r="K64" i="5"/>
  <c r="E33" i="5"/>
  <c r="M9" i="5"/>
  <c r="D85" i="5"/>
  <c r="I9" i="5"/>
  <c r="M35" i="5"/>
  <c r="M72" i="5"/>
  <c r="F23" i="5"/>
  <c r="C36" i="5"/>
  <c r="J56" i="5"/>
  <c r="H131" i="5"/>
  <c r="C25" i="5"/>
  <c r="C137" i="5"/>
  <c r="M121" i="5"/>
  <c r="O94" i="5"/>
  <c r="B119" i="5"/>
  <c r="H154" i="5"/>
  <c r="D28" i="5"/>
  <c r="G48" i="5"/>
  <c r="H75" i="5"/>
  <c r="M110" i="5"/>
  <c r="E146" i="5"/>
  <c r="M65" i="5"/>
  <c r="C100" i="5"/>
  <c r="C18" i="5"/>
  <c r="L36" i="5"/>
  <c r="J58" i="5"/>
  <c r="F91" i="5"/>
  <c r="K126" i="5"/>
  <c r="J13" i="5"/>
  <c r="O31" i="5"/>
  <c r="O52" i="5"/>
  <c r="H82" i="5"/>
  <c r="N117" i="5"/>
  <c r="F153" i="5"/>
  <c r="B62" i="5"/>
  <c r="M86" i="5"/>
  <c r="F113" i="5"/>
  <c r="D140" i="5"/>
  <c r="C68" i="5"/>
  <c r="K93" i="5"/>
  <c r="D120" i="5"/>
  <c r="B147" i="5"/>
  <c r="O72" i="5"/>
  <c r="D99" i="5"/>
  <c r="K125" i="5"/>
  <c r="D152" i="5"/>
  <c r="G47" i="5"/>
  <c r="C67" i="5"/>
  <c r="J92" i="5"/>
  <c r="H119" i="5"/>
  <c r="O145" i="5"/>
  <c r="E72" i="5"/>
  <c r="I90" i="5"/>
  <c r="C127" i="5"/>
  <c r="G145" i="5"/>
  <c r="B86" i="5"/>
  <c r="F104" i="5"/>
  <c r="J122" i="5"/>
  <c r="N140" i="5"/>
  <c r="E63" i="5"/>
  <c r="I81" i="5"/>
  <c r="M99" i="5"/>
  <c r="C118" i="5"/>
  <c r="G136" i="5"/>
  <c r="K154" i="5"/>
  <c r="D78" i="5"/>
  <c r="H96" i="5"/>
  <c r="L114" i="5"/>
  <c r="F151" i="5"/>
  <c r="I80" i="5"/>
  <c r="M98" i="5"/>
  <c r="C117" i="5"/>
  <c r="G135" i="5"/>
  <c r="K153" i="5"/>
  <c r="G108" i="5"/>
  <c r="F59" i="5"/>
  <c r="B30" i="5"/>
  <c r="J7" i="5"/>
  <c r="L111" i="5"/>
  <c r="L61" i="5"/>
  <c r="I31" i="5"/>
  <c r="K8" i="5"/>
  <c r="J76" i="5"/>
  <c r="N24" i="5"/>
  <c r="I50" i="5"/>
  <c r="O9" i="5"/>
  <c r="K32" i="5"/>
  <c r="O21" i="5"/>
  <c r="L42" i="5"/>
  <c r="F50" i="5"/>
  <c r="E6" i="5"/>
  <c r="I140" i="5"/>
  <c r="F125" i="5"/>
  <c r="L81" i="5"/>
  <c r="H123" i="5"/>
  <c r="D12" i="5"/>
  <c r="H30" i="5"/>
  <c r="D51" i="5"/>
  <c r="E115" i="5"/>
  <c r="L150" i="5"/>
  <c r="K69" i="5"/>
  <c r="K104" i="5"/>
  <c r="B140" i="5"/>
  <c r="G20" i="5"/>
  <c r="D39" i="5"/>
  <c r="N61" i="5"/>
  <c r="L95" i="5"/>
  <c r="E131" i="5"/>
  <c r="N15" i="5"/>
  <c r="G34" i="5"/>
  <c r="L55" i="5"/>
  <c r="N86" i="5"/>
  <c r="G122" i="5"/>
  <c r="N64" i="5"/>
  <c r="D90" i="5"/>
  <c r="K116" i="5"/>
  <c r="I143" i="5"/>
  <c r="G50" i="5"/>
  <c r="O70" i="5"/>
  <c r="B97" i="5"/>
  <c r="I123" i="5"/>
  <c r="G150" i="5"/>
  <c r="C76" i="5"/>
  <c r="I102" i="5"/>
  <c r="B129" i="5"/>
  <c r="G31" i="5"/>
  <c r="K49" i="5"/>
  <c r="B70" i="5"/>
  <c r="H122" i="5"/>
  <c r="F149" i="5"/>
  <c r="I74" i="5"/>
  <c r="M92" i="5"/>
  <c r="C111" i="5"/>
  <c r="G129" i="5"/>
  <c r="K147" i="5"/>
  <c r="F88" i="5"/>
  <c r="J106" i="5"/>
  <c r="N124" i="5"/>
  <c r="D143" i="5"/>
  <c r="I65" i="5"/>
  <c r="M83" i="5"/>
  <c r="C102" i="5"/>
  <c r="G120" i="5"/>
  <c r="D62" i="5"/>
  <c r="H80" i="5"/>
  <c r="L98" i="5"/>
  <c r="B117" i="5"/>
  <c r="F135" i="5"/>
  <c r="J153" i="5"/>
  <c r="M82" i="5"/>
  <c r="C101" i="5"/>
  <c r="G119" i="5"/>
  <c r="K137" i="5"/>
  <c r="O154" i="5"/>
  <c r="F102" i="5"/>
  <c r="D55" i="5"/>
  <c r="O26" i="5"/>
  <c r="F5" i="5"/>
  <c r="F57" i="5"/>
  <c r="I28" i="5"/>
  <c r="G6" i="5"/>
  <c r="D64" i="5"/>
  <c r="B146" i="5"/>
  <c r="D6" i="5"/>
  <c r="K16" i="5"/>
  <c r="B137" i="5"/>
  <c r="F15" i="5"/>
  <c r="H127" i="5"/>
  <c r="H11" i="5"/>
  <c r="I16" i="5"/>
  <c r="C47" i="5"/>
  <c r="M153" i="5"/>
  <c r="L134" i="5"/>
  <c r="F124" i="5"/>
  <c r="M150" i="5"/>
  <c r="K75" i="5"/>
  <c r="O93" i="5"/>
  <c r="E112" i="5"/>
  <c r="I130" i="5"/>
  <c r="M148" i="5"/>
  <c r="H89" i="5"/>
  <c r="L107" i="5"/>
  <c r="B126" i="5"/>
  <c r="F144" i="5"/>
  <c r="K66" i="5"/>
  <c r="O84" i="5"/>
  <c r="E103" i="5"/>
  <c r="I121" i="5"/>
  <c r="F63" i="5"/>
  <c r="J81" i="5"/>
  <c r="N99" i="5"/>
  <c r="D118" i="5"/>
  <c r="H136" i="5"/>
  <c r="L154" i="5"/>
  <c r="O83" i="5"/>
  <c r="E102" i="5"/>
  <c r="I120" i="5"/>
  <c r="M138" i="5"/>
  <c r="I150" i="5"/>
  <c r="B99" i="5"/>
  <c r="E53" i="5"/>
  <c r="H25" i="5"/>
  <c r="N153" i="5"/>
  <c r="B55" i="5"/>
  <c r="N26" i="5"/>
  <c r="H58" i="5"/>
  <c r="O104" i="5"/>
  <c r="D136" i="5"/>
  <c r="N129" i="5"/>
  <c r="F12" i="5"/>
  <c r="J120" i="5"/>
  <c r="C154" i="5"/>
  <c r="C28" i="5"/>
  <c r="D138" i="5"/>
  <c r="K121" i="5"/>
  <c r="O139" i="5"/>
  <c r="G147" i="5"/>
  <c r="B96" i="5"/>
  <c r="B24" i="5"/>
  <c r="H150" i="5"/>
  <c r="O98" i="5"/>
  <c r="D53" i="5"/>
  <c r="G25" i="5"/>
  <c r="B53" i="5"/>
  <c r="O82" i="5"/>
  <c r="B127" i="5"/>
  <c r="N120" i="5"/>
  <c r="H9" i="5"/>
  <c r="K111" i="5"/>
  <c r="E117" i="5"/>
  <c r="E98" i="5"/>
  <c r="B18" i="5"/>
  <c r="L7" i="5"/>
  <c r="H48" i="5"/>
  <c r="H62" i="5"/>
  <c r="J111" i="5"/>
  <c r="H140" i="5"/>
  <c r="I91" i="5"/>
  <c r="I6" i="5"/>
  <c r="N104" i="5"/>
  <c r="K108" i="5"/>
  <c r="H91" i="5"/>
  <c r="O153" i="5"/>
  <c r="C35" i="5"/>
  <c r="J6" i="5"/>
  <c r="D141" i="5"/>
  <c r="L89" i="5"/>
  <c r="N46" i="5"/>
  <c r="M143" i="5"/>
  <c r="F92" i="5"/>
  <c r="O48" i="5"/>
  <c r="G22" i="5"/>
  <c r="F44" i="5"/>
  <c r="D48" i="5"/>
  <c r="E97" i="5"/>
  <c r="N78" i="5"/>
  <c r="L84" i="5"/>
  <c r="N97" i="5"/>
  <c r="I101" i="5"/>
  <c r="F76" i="5"/>
  <c r="K36" i="5"/>
  <c r="K25" i="5"/>
  <c r="F114" i="5"/>
  <c r="K134" i="5"/>
  <c r="N17" i="5"/>
  <c r="I36" i="5"/>
  <c r="F58" i="5"/>
  <c r="B91" i="5"/>
  <c r="H126" i="5"/>
  <c r="F51" i="5"/>
  <c r="O79" i="5"/>
  <c r="H115" i="5"/>
  <c r="O150" i="5"/>
  <c r="C26" i="5"/>
  <c r="N45" i="5"/>
  <c r="N71" i="5"/>
  <c r="N106" i="5"/>
  <c r="G142" i="5"/>
  <c r="J40" i="5"/>
  <c r="B64" i="5"/>
  <c r="C98" i="5"/>
  <c r="I133" i="5"/>
  <c r="G51" i="5"/>
  <c r="F72" i="5"/>
  <c r="G98" i="5"/>
  <c r="E125" i="5"/>
  <c r="L151" i="5"/>
  <c r="C56" i="5"/>
  <c r="L78" i="5"/>
  <c r="E105" i="5"/>
  <c r="C132" i="5"/>
  <c r="N59" i="5"/>
  <c r="E84" i="5"/>
  <c r="E137" i="5"/>
  <c r="C37" i="5"/>
  <c r="G55" i="5"/>
  <c r="K77" i="5"/>
  <c r="D104" i="5"/>
  <c r="B131" i="5"/>
  <c r="O61" i="5"/>
  <c r="E80" i="5"/>
  <c r="I98" i="5"/>
  <c r="M116" i="5"/>
  <c r="C135" i="5"/>
  <c r="G153" i="5"/>
  <c r="B94" i="5"/>
  <c r="F112" i="5"/>
  <c r="J130" i="5"/>
  <c r="N148" i="5"/>
  <c r="E71" i="5"/>
  <c r="I89" i="5"/>
  <c r="M107" i="5"/>
  <c r="C126" i="5"/>
  <c r="G144" i="5"/>
  <c r="N67" i="5"/>
  <c r="D86" i="5"/>
  <c r="H104" i="5"/>
  <c r="L122" i="5"/>
  <c r="B141" i="5"/>
  <c r="E70" i="5"/>
  <c r="I88" i="5"/>
  <c r="M106" i="5"/>
  <c r="C125" i="5"/>
  <c r="G143" i="5"/>
  <c r="M137" i="5"/>
  <c r="F86" i="5"/>
  <c r="B45" i="5"/>
  <c r="L19" i="5"/>
  <c r="K140" i="5"/>
  <c r="F89" i="5"/>
  <c r="L46" i="5"/>
  <c r="B21" i="5"/>
  <c r="F146" i="5"/>
  <c r="M39" i="5"/>
  <c r="H39" i="5"/>
  <c r="N81" i="5"/>
  <c r="C41" i="5"/>
  <c r="G76" i="5"/>
  <c r="M89" i="5"/>
  <c r="K94" i="5"/>
  <c r="J69" i="5"/>
  <c r="E75" i="5"/>
  <c r="G38" i="5"/>
  <c r="N19" i="5"/>
  <c r="H7" i="5"/>
  <c r="N136" i="5"/>
  <c r="B19" i="5"/>
  <c r="L37" i="5"/>
  <c r="O59" i="5"/>
  <c r="E93" i="5"/>
  <c r="K128" i="5"/>
  <c r="M52" i="5"/>
  <c r="E82" i="5"/>
  <c r="L117" i="5"/>
  <c r="C153" i="5"/>
  <c r="E27" i="5"/>
  <c r="E47" i="5"/>
  <c r="N73" i="5"/>
  <c r="D109" i="5"/>
  <c r="K144" i="5"/>
  <c r="L22" i="5"/>
  <c r="N41" i="5"/>
  <c r="O65" i="5"/>
  <c r="F100" i="5"/>
  <c r="M135" i="5"/>
  <c r="I52" i="5"/>
  <c r="O73" i="5"/>
  <c r="E100" i="5"/>
  <c r="L126" i="5"/>
  <c r="E153" i="5"/>
  <c r="E57" i="5"/>
  <c r="J80" i="5"/>
  <c r="C107" i="5"/>
  <c r="J133" i="5"/>
  <c r="E61" i="5"/>
  <c r="L85" i="5"/>
  <c r="J112" i="5"/>
  <c r="C139" i="5"/>
  <c r="E38" i="5"/>
  <c r="I56" i="5"/>
  <c r="I79" i="5"/>
  <c r="B106" i="5"/>
  <c r="I132" i="5"/>
  <c r="C63" i="5"/>
  <c r="G81" i="5"/>
  <c r="K99" i="5"/>
  <c r="O117" i="5"/>
  <c r="E136" i="5"/>
  <c r="I154" i="5"/>
  <c r="D95" i="5"/>
  <c r="H113" i="5"/>
  <c r="L131" i="5"/>
  <c r="B150" i="5"/>
  <c r="G72" i="5"/>
  <c r="K90" i="5"/>
  <c r="O108" i="5"/>
  <c r="E127" i="5"/>
  <c r="I145" i="5"/>
  <c r="B69" i="5"/>
  <c r="F87" i="5"/>
  <c r="J105" i="5"/>
  <c r="N123" i="5"/>
  <c r="D142" i="5"/>
  <c r="G71" i="5"/>
  <c r="K89" i="5"/>
  <c r="O107" i="5"/>
  <c r="E126" i="5"/>
  <c r="I144" i="5"/>
  <c r="I134" i="5"/>
  <c r="C83" i="5"/>
  <c r="F43" i="5"/>
  <c r="G18" i="5"/>
  <c r="D137" i="5"/>
  <c r="K85" i="5"/>
  <c r="O44" i="5"/>
  <c r="K19" i="5"/>
  <c r="C138" i="5"/>
  <c r="D36" i="5"/>
  <c r="E28" i="5"/>
  <c r="I61" i="5"/>
  <c r="F123" i="5"/>
  <c r="F70" i="5"/>
  <c r="D25" i="5"/>
  <c r="F75" i="5"/>
  <c r="E108" i="5"/>
  <c r="H63" i="5"/>
  <c r="K46" i="5"/>
  <c r="O39" i="5"/>
  <c r="F118" i="5"/>
  <c r="M40" i="5"/>
  <c r="O38" i="5"/>
  <c r="K61" i="5"/>
  <c r="H95" i="5"/>
  <c r="O130" i="5"/>
  <c r="D54" i="5"/>
  <c r="I84" i="5"/>
  <c r="N119" i="5"/>
  <c r="C10" i="5"/>
  <c r="G28" i="5"/>
  <c r="K48" i="5"/>
  <c r="B76" i="5"/>
  <c r="H111" i="5"/>
  <c r="H146" i="5"/>
  <c r="N23" i="5"/>
  <c r="D43" i="5"/>
  <c r="B68" i="5"/>
  <c r="J102" i="5"/>
  <c r="B138" i="5"/>
  <c r="K53" i="5"/>
  <c r="G75" i="5"/>
  <c r="L101" i="5"/>
  <c r="J128" i="5"/>
  <c r="C40" i="5"/>
  <c r="G58" i="5"/>
  <c r="C82" i="5"/>
  <c r="J108" i="5"/>
  <c r="H135" i="5"/>
  <c r="J62" i="5"/>
  <c r="J87" i="5"/>
  <c r="C114" i="5"/>
  <c r="J140" i="5"/>
  <c r="G39" i="5"/>
  <c r="K57" i="5"/>
  <c r="B81" i="5"/>
  <c r="I107" i="5"/>
  <c r="G134" i="5"/>
  <c r="E64" i="5"/>
  <c r="I82" i="5"/>
  <c r="M100" i="5"/>
  <c r="C119" i="5"/>
  <c r="G137" i="5"/>
  <c r="B78" i="5"/>
  <c r="F96" i="5"/>
  <c r="J114" i="5"/>
  <c r="N132" i="5"/>
  <c r="D151" i="5"/>
  <c r="I73" i="5"/>
  <c r="M91" i="5"/>
  <c r="C110" i="5"/>
  <c r="G128" i="5"/>
  <c r="K146" i="5"/>
  <c r="D70" i="5"/>
  <c r="H88" i="5"/>
  <c r="L106" i="5"/>
  <c r="B125" i="5"/>
  <c r="F143" i="5"/>
  <c r="I72" i="5"/>
  <c r="M90" i="5"/>
  <c r="C109" i="5"/>
  <c r="G127" i="5"/>
  <c r="K145" i="5"/>
  <c r="G131" i="5"/>
  <c r="K79" i="5"/>
  <c r="H41" i="5"/>
  <c r="N16" i="5"/>
  <c r="H134" i="5"/>
  <c r="B83" i="5"/>
  <c r="E43" i="5"/>
  <c r="F18" i="5"/>
  <c r="O129" i="5"/>
  <c r="L32" i="5"/>
  <c r="E18" i="5"/>
  <c r="D52" i="5"/>
  <c r="C115" i="5"/>
  <c r="L63" i="5"/>
  <c r="G9" i="5"/>
  <c r="J61" i="5"/>
  <c r="J94" i="5"/>
  <c r="H52" i="5"/>
  <c r="F55" i="5"/>
  <c r="K42" i="5"/>
  <c r="N54" i="5"/>
  <c r="I19" i="5"/>
  <c r="O105" i="5"/>
  <c r="G141" i="5"/>
  <c r="F21" i="5"/>
  <c r="E40" i="5"/>
  <c r="J63" i="5"/>
  <c r="L97" i="5"/>
  <c r="D133" i="5"/>
  <c r="J55" i="5"/>
  <c r="K86" i="5"/>
  <c r="D122" i="5"/>
  <c r="E11" i="5"/>
  <c r="I29" i="5"/>
  <c r="B50" i="5"/>
  <c r="N77" i="5"/>
  <c r="E113" i="5"/>
  <c r="L148" i="5"/>
  <c r="B25" i="5"/>
  <c r="H44" i="5"/>
  <c r="N69" i="5"/>
  <c r="M104" i="5"/>
  <c r="E140" i="5"/>
  <c r="M54" i="5"/>
  <c r="N76" i="5"/>
  <c r="J103" i="5"/>
  <c r="C130" i="5"/>
  <c r="E41" i="5"/>
  <c r="I59" i="5"/>
  <c r="J83" i="5"/>
  <c r="H110" i="5"/>
  <c r="O136" i="5"/>
  <c r="O63" i="5"/>
  <c r="C89" i="5"/>
  <c r="J115" i="5"/>
  <c r="H142" i="5"/>
  <c r="I40" i="5"/>
  <c r="M58" i="5"/>
  <c r="N82" i="5"/>
  <c r="G109" i="5"/>
  <c r="N135" i="5"/>
  <c r="G65" i="5"/>
  <c r="K83" i="5"/>
  <c r="O101" i="5"/>
  <c r="E120" i="5"/>
  <c r="I138" i="5"/>
  <c r="D79" i="5"/>
  <c r="H97" i="5"/>
  <c r="L115" i="5"/>
  <c r="B134" i="5"/>
  <c r="F152" i="5"/>
  <c r="K74" i="5"/>
  <c r="O92" i="5"/>
  <c r="E111" i="5"/>
  <c r="I129" i="5"/>
  <c r="M147" i="5"/>
  <c r="F71" i="5"/>
  <c r="J89" i="5"/>
  <c r="N107" i="5"/>
  <c r="D126" i="5"/>
  <c r="H144" i="5"/>
  <c r="K73" i="5"/>
  <c r="O91" i="5"/>
  <c r="E110" i="5"/>
  <c r="I128" i="5"/>
  <c r="M146" i="5"/>
  <c r="N127" i="5"/>
  <c r="I76" i="5"/>
  <c r="L39" i="5"/>
  <c r="H15" i="5"/>
  <c r="C131" i="5"/>
  <c r="J79" i="5"/>
  <c r="G41" i="5"/>
  <c r="M16" i="5"/>
  <c r="B121" i="5"/>
  <c r="G29" i="5"/>
  <c r="M8" i="5"/>
  <c r="B28" i="5"/>
  <c r="C108" i="5"/>
  <c r="H57" i="5"/>
  <c r="K136" i="5"/>
  <c r="F52" i="5"/>
  <c r="G86" i="5"/>
  <c r="E48" i="5"/>
  <c r="J57" i="5"/>
  <c r="C11" i="5"/>
  <c r="J50" i="5"/>
  <c r="C80" i="5"/>
  <c r="O106" i="5"/>
  <c r="H133" i="5"/>
  <c r="I43" i="5"/>
  <c r="F62" i="5"/>
  <c r="O86" i="5"/>
  <c r="M113" i="5"/>
  <c r="F140" i="5"/>
  <c r="O66" i="5"/>
  <c r="H92" i="5"/>
  <c r="O118" i="5"/>
  <c r="M145" i="5"/>
  <c r="M42" i="5"/>
  <c r="G61" i="5"/>
  <c r="N85" i="5"/>
  <c r="L112" i="5"/>
  <c r="E139" i="5"/>
  <c r="K67" i="5"/>
  <c r="O85" i="5"/>
  <c r="E104" i="5"/>
  <c r="I122" i="5"/>
  <c r="M140" i="5"/>
  <c r="H81" i="5"/>
  <c r="L99" i="5"/>
  <c r="B118" i="5"/>
  <c r="F136" i="5"/>
  <c r="J154" i="5"/>
  <c r="O76" i="5"/>
  <c r="E95" i="5"/>
  <c r="I113" i="5"/>
  <c r="M131" i="5"/>
  <c r="C150" i="5"/>
  <c r="J73" i="5"/>
  <c r="N91" i="5"/>
  <c r="D110" i="5"/>
  <c r="H128" i="5"/>
  <c r="L146" i="5"/>
  <c r="O75" i="5"/>
  <c r="E94" i="5"/>
  <c r="I112" i="5"/>
  <c r="M130" i="5"/>
  <c r="C149" i="5"/>
  <c r="F121" i="5"/>
  <c r="J70" i="5"/>
  <c r="H36" i="5"/>
  <c r="L12" i="5"/>
  <c r="K124" i="5"/>
  <c r="E73" i="5"/>
  <c r="C38" i="5"/>
  <c r="B14" i="5"/>
  <c r="F107" i="5"/>
  <c r="D19" i="5"/>
  <c r="E69" i="5"/>
  <c r="I8" i="5"/>
  <c r="J72" i="5"/>
  <c r="F48" i="5"/>
  <c r="K120" i="5"/>
  <c r="M152" i="5"/>
  <c r="D34" i="5"/>
  <c r="I39" i="5"/>
  <c r="L127" i="5"/>
  <c r="C65" i="5"/>
  <c r="I126" i="5"/>
  <c r="O30" i="5"/>
  <c r="D60" i="5"/>
  <c r="G93" i="5"/>
  <c r="N128" i="5"/>
  <c r="K14" i="5"/>
  <c r="C33" i="5"/>
  <c r="F54" i="5"/>
  <c r="J84" i="5"/>
  <c r="O119" i="5"/>
  <c r="D10" i="5"/>
  <c r="H28" i="5"/>
  <c r="L48" i="5"/>
  <c r="D76" i="5"/>
  <c r="I111" i="5"/>
  <c r="O146" i="5"/>
  <c r="E58" i="5"/>
  <c r="O81" i="5"/>
  <c r="H108" i="5"/>
  <c r="O134" i="5"/>
  <c r="K44" i="5"/>
  <c r="K63" i="5"/>
  <c r="M88" i="5"/>
  <c r="F115" i="5"/>
  <c r="M141" i="5"/>
  <c r="G68" i="5"/>
  <c r="F94" i="5"/>
  <c r="M120" i="5"/>
  <c r="F147" i="5"/>
  <c r="O43" i="5"/>
  <c r="L62" i="5"/>
  <c r="L87" i="5"/>
  <c r="E114" i="5"/>
  <c r="L140" i="5"/>
  <c r="M68" i="5"/>
  <c r="C87" i="5"/>
  <c r="G105" i="5"/>
  <c r="K123" i="5"/>
  <c r="O141" i="5"/>
  <c r="J82" i="5"/>
  <c r="N100" i="5"/>
  <c r="D119" i="5"/>
  <c r="H137" i="5"/>
  <c r="M59" i="5"/>
  <c r="C78" i="5"/>
  <c r="G96" i="5"/>
  <c r="K114" i="5"/>
  <c r="O132" i="5"/>
  <c r="E151" i="5"/>
  <c r="L74" i="5"/>
  <c r="B93" i="5"/>
  <c r="F111" i="5"/>
  <c r="J129" i="5"/>
  <c r="N147" i="5"/>
  <c r="C77" i="5"/>
  <c r="G95" i="5"/>
  <c r="O131" i="5"/>
  <c r="E150" i="5"/>
  <c r="H118" i="5"/>
  <c r="H67" i="5"/>
  <c r="N34" i="5"/>
  <c r="G11" i="5"/>
  <c r="D121" i="5"/>
  <c r="I70" i="5"/>
  <c r="G36" i="5"/>
  <c r="K12" i="5"/>
  <c r="H98" i="5"/>
  <c r="I15" i="5"/>
  <c r="K56" i="5"/>
  <c r="K149" i="5"/>
  <c r="J54" i="5"/>
  <c r="E44" i="5"/>
  <c r="B112" i="5"/>
  <c r="J104" i="5"/>
  <c r="G23" i="5"/>
  <c r="B36" i="5"/>
  <c r="H130" i="5"/>
  <c r="D74" i="5"/>
  <c r="K117" i="5"/>
  <c r="M26" i="5"/>
  <c r="H26" i="5"/>
  <c r="G38" i="2"/>
  <c r="G26" i="5"/>
  <c r="H32" i="5"/>
  <c r="O34" i="5"/>
  <c r="E21" i="5"/>
  <c r="N79" i="5"/>
  <c r="O110" i="5"/>
  <c r="M27" i="5"/>
  <c r="M24" i="5"/>
  <c r="D24" i="5"/>
  <c r="E83" i="5"/>
  <c r="O103" i="5"/>
  <c r="L23" i="5"/>
  <c r="O78" i="5"/>
  <c r="C146" i="5"/>
  <c r="E15" i="5"/>
  <c r="D27" i="5"/>
  <c r="H86" i="5"/>
  <c r="C96" i="5"/>
  <c r="K54" i="5"/>
  <c r="B114" i="5"/>
  <c r="E25" i="5"/>
  <c r="J75" i="5"/>
  <c r="H31" i="5"/>
  <c r="J59" i="5"/>
  <c r="L136" i="5"/>
  <c r="E12" i="5"/>
  <c r="L28" i="5"/>
  <c r="N89" i="5"/>
  <c r="J88" i="5"/>
  <c r="L105" i="5"/>
  <c r="C22" i="5"/>
  <c r="L56" i="5"/>
  <c r="D21" i="5"/>
  <c r="D46" i="5"/>
  <c r="L120" i="5"/>
  <c r="B153" i="5"/>
  <c r="H23" i="5"/>
  <c r="M31" i="5"/>
  <c r="M102" i="5"/>
  <c r="M81" i="5"/>
  <c r="D22" i="5"/>
  <c r="D144" i="5"/>
  <c r="C39" i="5"/>
  <c r="J26" i="5"/>
  <c r="F98" i="5"/>
  <c r="C19" i="5"/>
  <c r="B43" i="5"/>
  <c r="B12" i="5"/>
  <c r="C30" i="5"/>
  <c r="B105" i="5"/>
  <c r="D91" i="5"/>
  <c r="J116" i="5"/>
  <c r="H33" i="5"/>
  <c r="L118" i="5"/>
  <c r="I46" i="5"/>
  <c r="H61" i="5"/>
  <c r="M20" i="5"/>
  <c r="H143" i="5"/>
  <c r="L143" i="5"/>
  <c r="L41" i="5"/>
  <c r="C128" i="5"/>
  <c r="C51" i="5"/>
  <c r="L17" i="5"/>
  <c r="C12" i="5"/>
  <c r="J118" i="5"/>
  <c r="M13" i="5"/>
  <c r="O113" i="5"/>
  <c r="F6" i="5"/>
  <c r="C6" i="5"/>
  <c r="K15" i="5"/>
  <c r="E68" i="5"/>
  <c r="E154" i="5"/>
  <c r="M133" i="5"/>
  <c r="K34" i="5"/>
  <c r="D14" i="5"/>
  <c r="O20" i="5"/>
  <c r="H50" i="5"/>
  <c r="D83" i="5"/>
  <c r="F69" i="5"/>
  <c r="M22" i="5"/>
  <c r="L70" i="5"/>
  <c r="M144" i="5"/>
  <c r="O14" i="5"/>
  <c r="G8" i="5"/>
  <c r="D31" i="5"/>
  <c r="D61" i="5"/>
  <c r="J20" i="5"/>
  <c r="O27" i="5"/>
  <c r="F56" i="5"/>
  <c r="K7" i="5"/>
  <c r="G52" i="5"/>
  <c r="B10" i="5"/>
  <c r="F45" i="5"/>
  <c r="M105" i="5"/>
  <c r="B143" i="5"/>
  <c r="C24" i="5"/>
  <c r="L50" i="5"/>
  <c r="J123" i="5"/>
  <c r="N12" i="5"/>
  <c r="E51" i="5"/>
  <c r="C112" i="5"/>
  <c r="J134" i="5"/>
  <c r="N20" i="5"/>
  <c r="H46" i="5"/>
  <c r="J37" i="5"/>
  <c r="D15" i="5"/>
  <c r="B124" i="5"/>
  <c r="E14" i="5"/>
  <c r="G53" i="5"/>
  <c r="G115" i="5"/>
  <c r="O126" i="5"/>
  <c r="M17" i="5"/>
  <c r="C31" i="5"/>
  <c r="M19" i="5"/>
  <c r="I149" i="5"/>
  <c r="F101" i="5"/>
  <c r="N103" i="5"/>
  <c r="O10" i="5"/>
  <c r="C88" i="5"/>
  <c r="N10" i="5"/>
  <c r="D72" i="5"/>
  <c r="H43" i="5"/>
  <c r="G99" i="5"/>
  <c r="I11" i="5"/>
  <c r="B39" i="5"/>
  <c r="D88" i="5"/>
  <c r="O5" i="5"/>
  <c r="F8" i="5"/>
  <c r="F53" i="5"/>
  <c r="K78" i="5"/>
  <c r="E81" i="5"/>
  <c r="K20" i="5"/>
  <c r="B108" i="5"/>
  <c r="D73" i="5"/>
  <c r="C17" i="5"/>
  <c r="K70" i="5"/>
  <c r="N66" i="5"/>
  <c r="F41" i="5"/>
  <c r="J44" i="5"/>
  <c r="K23" i="5"/>
  <c r="L72" i="5"/>
  <c r="J22" i="5"/>
  <c r="L20" i="5"/>
  <c r="J85" i="5"/>
  <c r="M78" i="5"/>
  <c r="D17" i="5"/>
  <c r="H47" i="5"/>
  <c r="L92" i="5"/>
  <c r="J147" i="5"/>
  <c r="D75" i="5"/>
  <c r="B6" i="5"/>
  <c r="J42" i="5"/>
  <c r="L54" i="5"/>
  <c r="K17" i="5"/>
  <c r="C59" i="5"/>
  <c r="H149" i="5"/>
  <c r="D68" i="5"/>
  <c r="L132" i="5"/>
  <c r="B128" i="5"/>
  <c r="F28" i="5"/>
  <c r="J8" i="5"/>
  <c r="G124" i="5"/>
  <c r="I18" i="5"/>
  <c r="F49" i="5"/>
  <c r="D96" i="5"/>
  <c r="N150" i="5"/>
  <c r="E67" i="5"/>
  <c r="C152" i="5"/>
  <c r="J34" i="5"/>
  <c r="K37" i="5"/>
  <c r="O13" i="5"/>
  <c r="D7" i="5"/>
  <c r="I78" i="5"/>
  <c r="H78" i="5"/>
  <c r="D49" i="5"/>
  <c r="L133" i="5"/>
  <c r="G5" i="5"/>
  <c r="D59" i="5"/>
  <c r="L44" i="5"/>
  <c r="D125" i="5"/>
  <c r="D45" i="5"/>
  <c r="I25" i="5"/>
  <c r="F36" i="5"/>
  <c r="G117" i="5"/>
  <c r="C124" i="5"/>
  <c r="N29" i="5"/>
  <c r="F7" i="5"/>
  <c r="G130" i="5"/>
  <c r="J110" i="5"/>
  <c r="F117" i="5"/>
  <c r="J16" i="5"/>
  <c r="L100" i="5"/>
  <c r="E92" i="5"/>
  <c r="L102" i="5"/>
  <c r="J66" i="5"/>
  <c r="K10" i="5"/>
  <c r="F64" i="5"/>
  <c r="N58" i="5"/>
  <c r="N56" i="5"/>
  <c r="N35" i="5"/>
  <c r="B15" i="5"/>
  <c r="D147" i="5"/>
  <c r="E30" i="5"/>
  <c r="K59" i="5"/>
  <c r="H109" i="5"/>
  <c r="N8" i="5"/>
  <c r="G56" i="5"/>
  <c r="O142" i="5"/>
  <c r="F38" i="5"/>
  <c r="E133" i="5"/>
  <c r="N94" i="5"/>
  <c r="N60" i="5"/>
  <c r="G140" i="5"/>
  <c r="B33" i="5"/>
  <c r="I147" i="5"/>
  <c r="F130" i="5"/>
  <c r="N48" i="5"/>
  <c r="C61" i="5"/>
  <c r="I110" i="5"/>
  <c r="N13" i="5"/>
  <c r="B41" i="5"/>
  <c r="G37" i="5"/>
  <c r="H107" i="5"/>
  <c r="I54" i="5"/>
  <c r="H42" i="5"/>
  <c r="J101" i="5"/>
  <c r="M10" i="5"/>
  <c r="I26" i="5"/>
  <c r="H139" i="5"/>
  <c r="J64" i="5"/>
  <c r="G85" i="5"/>
  <c r="M64" i="5"/>
  <c r="N37" i="5"/>
  <c r="M94" i="5"/>
  <c r="E8" i="5"/>
  <c r="K13" i="5"/>
  <c r="C99" i="5"/>
  <c r="N40" i="5"/>
  <c r="C92" i="5"/>
  <c r="N44" i="5"/>
  <c r="I34" i="5"/>
  <c r="O87" i="5"/>
  <c r="D5" i="5"/>
  <c r="O58" i="5"/>
  <c r="E22" i="5"/>
  <c r="E123" i="5"/>
  <c r="J150" i="5"/>
  <c r="B31" i="5"/>
  <c r="L79" i="5"/>
  <c r="E141" i="5"/>
  <c r="H16" i="5"/>
  <c r="L152" i="5"/>
  <c r="L29" i="5"/>
  <c r="N142" i="5"/>
  <c r="C27" i="5"/>
  <c r="N72" i="5"/>
  <c r="H66" i="5"/>
  <c r="F16" i="5"/>
  <c r="C147" i="5"/>
  <c r="M12" i="5"/>
  <c r="M44" i="5"/>
  <c r="L121" i="5"/>
  <c r="K29" i="5"/>
  <c r="E101" i="5"/>
  <c r="O32" i="5"/>
  <c r="J12" i="5"/>
  <c r="E7" i="5"/>
  <c r="I64" i="5"/>
  <c r="I85" i="5"/>
  <c r="G114" i="5"/>
  <c r="M48" i="5"/>
  <c r="C121" i="5"/>
  <c r="K26" i="5"/>
  <c r="B59" i="5"/>
  <c r="J107" i="5"/>
  <c r="J139" i="5"/>
  <c r="B130" i="5"/>
  <c r="L9" i="5"/>
  <c r="G33" i="5"/>
  <c r="E55" i="5"/>
  <c r="L149" i="5"/>
  <c r="J41" i="5"/>
  <c r="L10" i="5"/>
  <c r="J36" i="5"/>
  <c r="H70" i="5"/>
  <c r="H19" i="5"/>
  <c r="H54" i="5"/>
  <c r="H114" i="5"/>
  <c r="J19" i="5"/>
  <c r="K50" i="5"/>
  <c r="M142" i="5"/>
  <c r="M37" i="5"/>
  <c r="J149" i="5"/>
  <c r="G19" i="5"/>
  <c r="O40" i="5"/>
  <c r="M32" i="5"/>
  <c r="K9" i="5"/>
  <c r="H29" i="5"/>
  <c r="G7" i="5"/>
  <c r="G46" i="5"/>
  <c r="K133" i="5"/>
  <c r="H34" i="5"/>
  <c r="G101" i="5"/>
  <c r="G139" i="5"/>
  <c r="F22" i="5"/>
  <c r="K92" i="5"/>
  <c r="H13" i="5"/>
  <c r="J9" i="5"/>
  <c r="G70" i="2"/>
  <c r="D105" i="2"/>
  <c r="G33" i="2"/>
  <c r="G57" i="2"/>
  <c r="E29" i="5" l="1"/>
  <c r="K132" i="5"/>
  <c r="F42" i="5"/>
  <c r="N62" i="5"/>
  <c r="N109" i="5"/>
  <c r="N49" i="5"/>
  <c r="H90" i="5"/>
  <c r="K5" i="5"/>
  <c r="L53" i="5"/>
  <c r="G92" i="5"/>
  <c r="J46" i="5"/>
  <c r="N51" i="5"/>
  <c r="B152" i="5"/>
  <c r="G116" i="5"/>
  <c r="B56" i="5"/>
  <c r="H100" i="5"/>
  <c r="D67" i="5"/>
  <c r="E42" i="5"/>
  <c r="K31" i="5"/>
  <c r="E107" i="5"/>
  <c r="G44" i="5"/>
  <c r="D84" i="5"/>
  <c r="N38" i="5"/>
  <c r="J100" i="5"/>
  <c r="K142" i="5"/>
  <c r="C116" i="5"/>
  <c r="J132" i="5"/>
  <c r="F145" i="5"/>
  <c r="F129" i="5"/>
  <c r="N21" i="5"/>
  <c r="C9" i="5"/>
  <c r="J38" i="5"/>
  <c r="G78" i="5"/>
  <c r="B52" i="5"/>
  <c r="H125" i="5"/>
  <c r="E106" i="5"/>
  <c r="L38" i="5"/>
  <c r="D128" i="5"/>
  <c r="N125" i="5"/>
  <c r="K47" i="5"/>
  <c r="D69" i="5"/>
  <c r="H59" i="5"/>
  <c r="H103" i="5"/>
  <c r="C13" i="5"/>
  <c r="M38" i="5"/>
  <c r="N138" i="5"/>
  <c r="H45" i="5"/>
  <c r="B37" i="5"/>
  <c r="E56" i="5"/>
  <c r="C66" i="5"/>
  <c r="C46" i="5"/>
  <c r="N102" i="5"/>
  <c r="M51" i="5"/>
  <c r="O6" i="5"/>
  <c r="M85" i="5"/>
  <c r="O80" i="5"/>
  <c r="B34" i="5"/>
  <c r="C58" i="5"/>
  <c r="O53" i="5"/>
  <c r="F14" i="5"/>
  <c r="I141" i="5"/>
  <c r="I103" i="5"/>
  <c r="G102" i="5"/>
  <c r="D93" i="5"/>
  <c r="J15" i="5"/>
  <c r="E109" i="5"/>
  <c r="J45" i="5"/>
  <c r="O138" i="5"/>
  <c r="J23" i="5"/>
  <c r="C34" i="5"/>
  <c r="M28" i="5"/>
  <c r="E152" i="5"/>
  <c r="J90" i="5"/>
  <c r="L141" i="5"/>
  <c r="E50" i="5"/>
  <c r="J152" i="5"/>
  <c r="N98" i="5"/>
  <c r="G100" i="5"/>
  <c r="G110" i="5"/>
  <c r="N130" i="5"/>
  <c r="I66" i="5"/>
  <c r="O49" i="5"/>
  <c r="K30" i="5"/>
  <c r="O51" i="5"/>
  <c r="M61" i="5"/>
  <c r="N137" i="5"/>
  <c r="F99" i="5"/>
  <c r="M95" i="5"/>
  <c r="K115" i="5"/>
  <c r="M124" i="5"/>
  <c r="G64" i="5"/>
  <c r="K91" i="5"/>
  <c r="N139" i="5"/>
  <c r="E13" i="5"/>
  <c r="D123" i="5"/>
  <c r="M103" i="5"/>
  <c r="F132" i="5"/>
  <c r="F40" i="5"/>
  <c r="E17" i="5"/>
  <c r="K43" i="5"/>
  <c r="E23" i="5"/>
  <c r="D16" i="5"/>
  <c r="H116" i="5"/>
  <c r="H55" i="5"/>
  <c r="B90" i="5"/>
  <c r="B58" i="5"/>
  <c r="H51" i="5"/>
  <c r="H35" i="5"/>
  <c r="J10" i="5"/>
  <c r="J24" i="5"/>
  <c r="D23" i="5"/>
  <c r="O96" i="5"/>
  <c r="I53" i="5"/>
  <c r="D56" i="5"/>
  <c r="K143" i="5"/>
  <c r="O41" i="5"/>
  <c r="F106" i="5"/>
  <c r="N28" i="5"/>
  <c r="B16" i="5"/>
  <c r="I87" i="5"/>
  <c r="O88" i="5"/>
  <c r="O121" i="5"/>
  <c r="J25" i="5"/>
  <c r="L80" i="5"/>
  <c r="H87" i="5"/>
  <c r="M41" i="5"/>
  <c r="H85" i="5"/>
  <c r="I41" i="5"/>
  <c r="G84" i="5"/>
  <c r="E89" i="5"/>
  <c r="H14" i="5"/>
  <c r="D154" i="5"/>
  <c r="M67" i="5"/>
  <c r="D113" i="5"/>
  <c r="I20" i="5"/>
  <c r="N39" i="5"/>
  <c r="O74" i="5"/>
  <c r="C23" i="5"/>
  <c r="G83" i="5"/>
  <c r="K119" i="5"/>
  <c r="B7" i="5"/>
  <c r="M43" i="5"/>
  <c r="L109" i="5"/>
  <c r="M6" i="5"/>
  <c r="L145" i="5"/>
  <c r="N55" i="5"/>
  <c r="M18" i="5"/>
  <c r="J96" i="5"/>
  <c r="D37" i="5"/>
  <c r="O102" i="5"/>
  <c r="H77" i="5"/>
  <c r="N154" i="5"/>
  <c r="K151" i="5"/>
  <c r="O28" i="5"/>
  <c r="K103" i="5"/>
  <c r="D42" i="5"/>
  <c r="I119" i="5"/>
  <c r="I86" i="5"/>
  <c r="N134" i="5"/>
  <c r="J32" i="5"/>
  <c r="N144" i="5"/>
  <c r="C90" i="5"/>
  <c r="E45" i="5"/>
  <c r="B136" i="5"/>
  <c r="F26" i="5"/>
  <c r="E129" i="5"/>
  <c r="C52" i="5"/>
  <c r="G49" i="5"/>
  <c r="C136" i="5"/>
  <c r="B75" i="5"/>
  <c r="N92" i="5"/>
  <c r="J27" i="5"/>
  <c r="B132" i="5"/>
  <c r="N90" i="5"/>
  <c r="C106" i="5"/>
  <c r="F29" i="5"/>
  <c r="G67" i="5"/>
  <c r="B8" i="5"/>
  <c r="B20" i="5"/>
  <c r="L5" i="5"/>
  <c r="M80" i="5"/>
  <c r="G77" i="5"/>
  <c r="O144" i="5"/>
  <c r="E91" i="5"/>
  <c r="J14" i="5"/>
  <c r="N57" i="5"/>
  <c r="I115" i="5"/>
  <c r="D71" i="5"/>
  <c r="B73" i="5"/>
  <c r="K80" i="5"/>
  <c r="C42" i="5"/>
  <c r="D77" i="5"/>
  <c r="H24" i="5"/>
  <c r="B135" i="5"/>
  <c r="L25" i="5"/>
  <c r="I38" i="5"/>
  <c r="H148" i="5"/>
  <c r="F35" i="5"/>
  <c r="M36" i="5"/>
  <c r="B67" i="5"/>
  <c r="N118" i="5"/>
  <c r="L104" i="5"/>
  <c r="L108" i="5"/>
  <c r="G54" i="5"/>
  <c r="L144" i="5"/>
  <c r="K72" i="5"/>
  <c r="B71" i="5"/>
  <c r="M46" i="5"/>
  <c r="N121" i="5"/>
  <c r="N152" i="5"/>
  <c r="E86" i="5"/>
  <c r="G121" i="5"/>
  <c r="J35" i="5"/>
  <c r="E88" i="5"/>
  <c r="M122" i="5"/>
  <c r="N133" i="5"/>
  <c r="H76" i="5"/>
  <c r="E39" i="5"/>
  <c r="M154" i="5"/>
  <c r="G125" i="5"/>
  <c r="I131" i="5"/>
  <c r="J138" i="5"/>
  <c r="G151" i="5"/>
  <c r="N88" i="5"/>
  <c r="I124" i="5"/>
  <c r="I71" i="5"/>
  <c r="H121" i="5"/>
  <c r="E134" i="5"/>
  <c r="L31" i="5"/>
  <c r="J135" i="5"/>
  <c r="C48" i="5"/>
  <c r="M108" i="5"/>
  <c r="B133" i="5"/>
  <c r="C7" i="5"/>
  <c r="M79" i="5"/>
  <c r="K45" i="5"/>
  <c r="O95" i="5"/>
  <c r="K138" i="5"/>
  <c r="D105" i="5"/>
  <c r="M97" i="5"/>
  <c r="M139" i="5"/>
  <c r="K101" i="5"/>
  <c r="B51" i="5"/>
  <c r="F141" i="5"/>
  <c r="C21" i="5"/>
  <c r="E99" i="5"/>
  <c r="J21" i="5"/>
  <c r="L110" i="5"/>
  <c r="O18" i="5"/>
  <c r="K24" i="5"/>
  <c r="K60" i="5"/>
  <c r="H74" i="5"/>
  <c r="H69" i="5"/>
  <c r="M129" i="5"/>
  <c r="G126" i="5"/>
  <c r="O112" i="5"/>
  <c r="N112" i="5"/>
  <c r="O57" i="5"/>
  <c r="C44" i="5"/>
  <c r="L142" i="5"/>
  <c r="G94" i="5"/>
  <c r="C55" i="5"/>
  <c r="B100" i="5"/>
  <c r="N22" i="5"/>
  <c r="B84" i="5"/>
  <c r="K21" i="5"/>
  <c r="L18" i="5"/>
  <c r="M55" i="5"/>
  <c r="K88" i="5"/>
  <c r="O122" i="5"/>
  <c r="B23" i="5"/>
  <c r="O90" i="5"/>
  <c r="G30" i="5"/>
  <c r="D20" i="5"/>
  <c r="I33" i="5"/>
  <c r="I14" i="5"/>
  <c r="O127" i="5"/>
  <c r="B48" i="5"/>
  <c r="M23" i="5"/>
  <c r="N27" i="5"/>
  <c r="B13" i="5"/>
  <c r="J144" i="5"/>
  <c r="B82" i="5"/>
  <c r="I63" i="5"/>
  <c r="D108" i="5"/>
  <c r="H68" i="5"/>
  <c r="F47" i="5"/>
  <c r="K22" i="5"/>
  <c r="I142" i="5"/>
  <c r="F78" i="2"/>
  <c r="F80" i="2" l="1"/>
  <c r="D103" i="2" s="1"/>
  <c r="F83" i="2"/>
  <c r="D104" i="2" s="1"/>
  <c r="F79" i="2"/>
  <c r="D102" i="2" s="1"/>
  <c r="F81" i="2"/>
  <c r="D101" i="2"/>
</calcChain>
</file>

<file path=xl/sharedStrings.xml><?xml version="1.0" encoding="utf-8"?>
<sst xmlns="http://schemas.openxmlformats.org/spreadsheetml/2006/main" count="948" uniqueCount="612">
  <si>
    <t>MATRIZ AUTOMATIZADA DE VALORACIÓN DE VULNERABILIDAD FAMILIAR</t>
  </si>
  <si>
    <t>CENTROS MUNICIPALES DE CUIDADO INFANTIL (CMCI) — GUASMO, ORQUÍDEAS Y BAHÍA</t>
  </si>
  <si>
    <t>1. OBJETIVO DE LA HERRAMIENTA</t>
  </si>
  <si>
    <t>Esta herramienta permite valorar de forma técnica, objetiva y estandarizada el nivel de vulnerabilidad familiar de posibles usuarios/as que solicitan el servicio de cuidado infantil en los Centros Municipales de Cuidado Infantil (CMCI) Guasmo, Orquídeas y Bahía, en el marco del Proyecto Integral de Gestión Técnica y Administrativa de los Centros Municipales de Cuidado Infantil Guasmo, Orquídeas y Bahía, durante los procesos de focalización, captación, valoración y priorización. A partir de información socioeconómica, familiar, laboral, de cuidado, habitacional, de salud, de protección y de redes de apoyo, calcula automáticamente un puntaje, un porcentaje y un nivel de vulnerabilidad, una categoría de prioridad, un semáforo visual, alertas de atención y un listado de priorización.</t>
  </si>
  <si>
    <t>2. POBLACIÓN A LA QUE APLICA</t>
  </si>
  <si>
    <t>Niñas y niños de 12 a 42 meses de edad, postulantes al servicio de cuidado infantil de los CMCI, y sus hogares. La hoja VALORACIÓN calcula automáticamente la edad en meses y señala si el caso se encuentra dentro de este rango.</t>
  </si>
  <si>
    <t>3. ESTRUCTURA DEL ARCHIVO</t>
  </si>
  <si>
    <t>INSTRUCCIONES</t>
  </si>
  <si>
    <t>Esta hoja: objetivo, uso, metodología y advertencias.</t>
  </si>
  <si>
    <t>VALORACIÓN</t>
  </si>
  <si>
    <t>Ficha individual de valoración: identificación, información del hogar, matriz de 33 indicadores agrupados en 8 dimensiones, resultado consolidado, alertas y resumen final.</t>
  </si>
  <si>
    <t>PARÁMETROS</t>
  </si>
  <si>
    <t>Motor editable de la herramienta: pesos de dimensiones e indicadores, opciones de respuesta y puntajes, rangos de vulnerabilidad, categorías de prioridad, umbrales de indicadores automáticos y listas de validación. Todas las fórmulas de las demás hojas leen desde aquí.</t>
  </si>
  <si>
    <t>BASE DE DATOS</t>
  </si>
  <si>
    <t>Registro de múltiples postulantes. Cada fila = un/a postulante. Se transcriben el código, los datos de identificación y los 8 puntajes por dimensión obtenidos en VALORACIÓN; el resto se calcula automáticamente.</t>
  </si>
  <si>
    <t>PRIORIZACIÓN</t>
  </si>
  <si>
    <t>Listado de postulantes ordenado automáticamente según prioridad, alerta de protección y puntaje. Permite filtrar por CMCI, nivel, prioridad, sexo, edad, sector, estado de valoración y alertas.</t>
  </si>
  <si>
    <t>DASHBOARD</t>
  </si>
  <si>
    <t>Indicadores agregados y gráficos: totales, distribución por nivel y prioridad, casos con alerta de protección, postulantes por CMCI y promedio de vulnerabilidad.</t>
  </si>
  <si>
    <t>PRUEBAS</t>
  </si>
  <si>
    <t>Casos ficticios utilizados para verificar el correcto funcionamiento de las fórmulas antes de la entrega.</t>
  </si>
  <si>
    <t>4. INSTRUCCIONES DE USO</t>
  </si>
  <si>
    <t>2) Revise la sección D (Resultado consolidado), la sección E (Alertas y consideraciones) y la sección F (Resultado de valoración) que se generan automáticamente.</t>
  </si>
  <si>
    <t>3) Para conservar el registro y compararlo con otros postulantes, transcriba el código, los datos de identificación y los 8 puntajes por dimensión (sección D de VALORACIÓN) en una fila nueva de la hoja BASE DE DATOS, e indique manualmente si existe alerta de protección y el estado de la valoración.</t>
  </si>
  <si>
    <t>4) Revise la hoja PRIORIZACIÓN para consultar el listado ordenado, y la hoja DASHBOARD para una vista agregada del proceso de focalización.</t>
  </si>
  <si>
    <t>5) Los parámetros técnicos (pesos, puntajes, rangos, prioridades, umbrales) pueden actualizarse en la hoja PARÁMETROS sin modificar ninguna fórmula de las demás hojas.</t>
  </si>
  <si>
    <t>5. ESCALA DE VULNERABILIDAD POR INDICADOR</t>
  </si>
  <si>
    <t>Cada indicador se responde mediante una opción de respuesta específica (ver hoja PARÁMETROS, bloque 3), a la que corresponde un puntaje entre 0 y 4:</t>
  </si>
  <si>
    <t>0</t>
  </si>
  <si>
    <t>Sin condición de vulnerabilidad</t>
  </si>
  <si>
    <t>1</t>
  </si>
  <si>
    <t>Vulnerabilidad baja</t>
  </si>
  <si>
    <t>2</t>
  </si>
  <si>
    <t>Vulnerabilidad moderada</t>
  </si>
  <si>
    <t>3</t>
  </si>
  <si>
    <t>Vulnerabilidad alta</t>
  </si>
  <si>
    <t>4</t>
  </si>
  <si>
    <t>Vulnerabilidad crítica</t>
  </si>
  <si>
    <t>Cada indicador tiene un peso dentro de su dimensión y un peso global dentro del puntaje total (100 puntos). El puntaje ponderado de cada indicador = (puntaje obtenido ÷ 4) × peso global del indicador. La suma de los puntajes ponderados de los 33 indicadores es el puntaje total (0-100), equivalente al porcentaje de vulnerabilidad.</t>
  </si>
  <si>
    <t>6. NIVELES DE VULNERABILIDAD Y PRIORIDAD</t>
  </si>
  <si>
    <t>Nivel de vulnerabilidad</t>
  </si>
  <si>
    <t>Rango (%)</t>
  </si>
  <si>
    <t>Semáforo</t>
  </si>
  <si>
    <t>Vulnerabilidad muy baja</t>
  </si>
  <si>
    <t xml:space="preserve"> % - 20 %</t>
  </si>
  <si>
    <t>VERDE</t>
  </si>
  <si>
    <t>20.0001 % - 40 %</t>
  </si>
  <si>
    <t>40.0001 % - 60 %</t>
  </si>
  <si>
    <t>AMARILLO</t>
  </si>
  <si>
    <t>60.0001 % - 80 %</t>
  </si>
  <si>
    <t>NARANJA</t>
  </si>
  <si>
    <t>80.0001 % - 100 %</t>
  </si>
  <si>
    <t>ROJO</t>
  </si>
  <si>
    <t>Prioridad</t>
  </si>
  <si>
    <t>Condición</t>
  </si>
  <si>
    <t>PRIORIDAD 1</t>
  </si>
  <si>
    <t>Alta necesidad de atención / condiciones de vulnerabilidad significativa, o existencia de alerta de protección.</t>
  </si>
  <si>
    <t>PRIORIDAD 2</t>
  </si>
  <si>
    <t>Vulnerabilidad intermedia / necesidad de atención identificada.</t>
  </si>
  <si>
    <t>PRIORIDAD 3</t>
  </si>
  <si>
    <t>Vulnerabilidad menor / atención según disponibilidad y criterios institucionales.</t>
  </si>
  <si>
    <t>La prioridad NO depende únicamente del puntaje total: si existe una alerta de protección (dimensión 7), el caso se clasifica automáticamente como PRIORIDAD 1, independientemente del puntaje obtenido en las demás dimensiones.</t>
  </si>
  <si>
    <t>7. ALERTA DE PROTECCIÓN</t>
  </si>
  <si>
    <t>Cuando cualquier indicador de la dimensión "Protección y riesgos sociales" obtiene un puntaje de 3 (alta) o 4 (crítica), la herramienta genera automáticamente la alerta "REQUIERE REVISIÓN PROFESIONAL / PROTECCIÓN". Esta alerta se muestra de forma independiente del puntaje general y NO puede ser anulada por un puntaje total bajo. La alerta identifica la necesidad de revisión por parte de profesionales de trabajo social o psicología; en ningún caso constituye una medida de protección ni un diagnóstico.</t>
  </si>
  <si>
    <t>8. ADVERTENCIA METODOLÓGICA IMPORTANTE</t>
  </si>
  <si>
    <t>Esta matriz constituye una PROPUESTA TÉCNICA DE DISEÑO desarrollada para apoyar el proceso de focalización y priorización del Proyecto Integral de Gestión Técnica y Administrativa de los Centros Municipales de Cuidado Infantil Guasmo, Orquídeas y Bahía. No corresponde a una metodología oficial de MIES, DASE, GAD u otra institución, y debe ser validada institucionalmente antes de su aplicación oficial. El puntaje obtenido es una HERRAMIENTA TÉCNICA DE APOYO y en ningún caso sustituye la valoración profesional de trabajo social, psicología u otras disciplinas, ni determina por sí sola la admisión de un/a usuario/a o la adopción de una medida de protección. Toda decisión final debe considerar el criterio profesional, el interés superior del niño y la disponibilidad institucional.</t>
  </si>
  <si>
    <t>9. SEGURIDAD Y EDICIÓN</t>
  </si>
  <si>
    <t>10. BOTONES "GUARDAR FICHA" Y "NUEVO REGISTRO" (AUTOMATIZACIÓN CON MACROS)</t>
  </si>
  <si>
    <t>En la hoja VALORACIÓN se incluyen dos celdas con apariencia de botón: GUARDAR FICHA EN BASE DE DATOS y NUEVO REGISTRO (LIMPIAR FICHA). Por seguridad, Excel no permite que un archivo .xlsx traiga macros ya incrustadas de forma invisible; para activar estos botones debe realizarse UNA SOLA VEZ el siguiente procedimiento (5 minutos, requiere permisos de macros):</t>
  </si>
  <si>
    <t>1) Abra el archivo y guárdelo como Libro de Excel habilitado para macros: Archivo &gt; Guardar como &gt; tipo "Libro de Excel habilitado para macros (*.xlsm)".</t>
  </si>
  <si>
    <t>2) Presione Alt+F11 para abrir el editor de Visual Basic (VBA). En el panel izquierdo, clic derecho sobre el nombre del archivo &gt; Insertar &gt; Módulo.</t>
  </si>
  <si>
    <t>3) Copie y pegue el código de la sección 11 (código VBA) en el módulo nuevo. Cierre el editor de VBA.</t>
  </si>
  <si>
    <t>4) En la hoja VALORACIÓN, active la pestaña Programador (Archivo &gt; Opciones &gt; Personalizar cinta &gt; active "Programador"). Vaya a Programador &gt; Insertar &gt; Botón (control de formulario) y dibuje un botón sobre la celda que dice "GUARDAR FICHA EN BASE DE DATOS"; al soltar el clic, Excel pedirá asignar una macro: seleccione GuardarFicha.</t>
  </si>
  <si>
    <t>5) Repita el paso 4 para el botón "NUEVO REGISTRO (LIMPIAR FICHA)", asignando la macro NuevoRegistro.</t>
  </si>
  <si>
    <t>6) Guarde el archivo. A partir de ahora, ambos botones funcionarán directamente con un clic.</t>
  </si>
  <si>
    <t>El botón GUARDAR FICHA copia el código, la identificación y los 8 puntajes por dimensión de la ficha actual hacia una nueva fila de la hoja BASE DE DATOS (y por lo tanto hacia PRIORIZACIÓN, que se alimenta de ella). Si el nivel de vulnerabilidad del caso es MUY BAJO o BAJO, el sistema le preguntará si desea continuar, ya que la Base de Datos y el listado de Priorización están pensados para concentrar los casos de nivel MODERADO, ALTO o CRÍTICO. El botón NUEVO REGISTRO limpia únicamente las celdas de ingreso de datos (fondo amarillo) de la hoja VALORACIÓN, dejándola lista para una nueva ficha.</t>
  </si>
  <si>
    <t>11. CÓDIGO VBA (copiar y pegar en el módulo del paso 10.3)</t>
  </si>
  <si>
    <t>Option Explicit</t>
  </si>
  <si>
    <t>Sub GuardarFicha()</t>
  </si>
  <si>
    <t xml:space="preserve">    Dim wsV As Worksheet, wsB As Worksheet</t>
  </si>
  <si>
    <t xml:space="preserve">    Dim nivel As String, alertaTxt As String</t>
  </si>
  <si>
    <t xml:space="preserve">    Dim destRow As Long, firstRow As Long</t>
  </si>
  <si>
    <t xml:space="preserve">    Dim resp As VbMsgBoxResult</t>
  </si>
  <si>
    <t xml:space="preserve">    Set wsV = ThisWorkbook.Sheets("VALORACIÓN")</t>
  </si>
  <si>
    <t xml:space="preserve">    Set wsB = ThisWorkbook.Sheets("BASE DE DATOS")</t>
  </si>
  <si>
    <t xml:space="preserve">    If Trim(wsV.Range("NV_Codigo").Value) = "" Then</t>
  </si>
  <si>
    <t xml:space="preserve">        MsgBox "Ingrese el código del usuario antes de guardar la ficha.", vbExclamation, "Falta información"</t>
  </si>
  <si>
    <t xml:space="preserve">        Exit Sub</t>
  </si>
  <si>
    <t xml:space="preserve">    End If</t>
  </si>
  <si>
    <t xml:space="preserve">    nivel = wsV.Range("NV_Nivel").Value</t>
  </si>
  <si>
    <t xml:space="preserve">    If nivel &lt;&gt; "Vulnerabilidad moderada" And nivel &lt;&gt; "Vulnerabilidad alta" _</t>
  </si>
  <si>
    <t xml:space="preserve">       And nivel &lt;&gt; "Vulnerabilidad crítica" Then</t>
  </si>
  <si>
    <t xml:space="preserve">        resp = MsgBox("Este caso tiene nivel '" &amp; nivel &amp; "'." &amp; vbCrLf &amp; _</t>
  </si>
  <si>
    <t xml:space="preserve">            "La Base de Datos y el listado de Priorización están pensados para concentrar " &amp; _</t>
  </si>
  <si>
    <t xml:space="preserve">            "los casos de nivel MODERADO, ALTO o CRÍTICO." &amp; vbCrLf &amp; _</t>
  </si>
  <si>
    <t xml:space="preserve">            "¿Desea guardarlo de todas formas?", vbYesNo + vbQuestion, "Nivel de vulnerabilidad bajo")</t>
  </si>
  <si>
    <t xml:space="preserve">        If resp = vbNo Then Exit Sub</t>
  </si>
  <si>
    <t xml:space="preserve">    ' Primera fila de datos de la tabla (debajo del encabezado)</t>
  </si>
  <si>
    <t xml:space="preserve">    firstRow = wsB.Range("BD_PrimeraFila").Row</t>
  </si>
  <si>
    <t xml:space="preserve">    destRow = wsB.Cells(wsB.Rows.Count, "A").End(xlUp).Row + 1</t>
  </si>
  <si>
    <t xml:space="preserve">    If destRow &lt; firstRow Then destRow = firstRow</t>
  </si>
  <si>
    <t xml:space="preserve">    alertaTxt = wsV.Range("NV_Alerta").Value</t>
  </si>
  <si>
    <t xml:space="preserve">    If Left(alertaTxt, 2) = "SÍ" Then alertaTxt = "Sí" Else alertaTxt = "No"</t>
  </si>
  <si>
    <t xml:space="preserve">    wsB.Cells(destRow, 1).Value = wsV.Range("NV_Codigo").Value</t>
  </si>
  <si>
    <t xml:space="preserve">    wsB.Cells(destRow, 2).Value = wsV.Range("NV_Nombre").Value</t>
  </si>
  <si>
    <t xml:space="preserve">    wsB.Cells(destRow, 3).Value = wsV.Range("NV_Sexo").Value</t>
  </si>
  <si>
    <t xml:space="preserve">    wsB.Cells(destRow, 4).Value = wsV.Range("NV_Edad").Value</t>
  </si>
  <si>
    <t xml:space="preserve">    wsB.Cells(destRow, 5).Value = wsV.Range("NV_CMCI").Value</t>
  </si>
  <si>
    <t xml:space="preserve">    wsB.Cells(destRow, 6).Value = wsV.Range("NV_Sector").Value</t>
  </si>
  <si>
    <t xml:space="preserve">    wsB.Cells(destRow, 7).Value = wsV.Range("NV_FechaVal").Value</t>
  </si>
  <si>
    <t xml:space="preserve">    wsB.Cells(destRow, 8).Value = wsV.Range("NV_D1").Value</t>
  </si>
  <si>
    <t xml:space="preserve">    wsB.Cells(destRow, 9).Value = wsV.Range("NV_D2").Value</t>
  </si>
  <si>
    <t xml:space="preserve">    wsB.Cells(destRow, 10).Value = wsV.Range("NV_D3").Value</t>
  </si>
  <si>
    <t xml:space="preserve">    wsB.Cells(destRow, 11).Value = wsV.Range("NV_D4").Value</t>
  </si>
  <si>
    <t xml:space="preserve">    wsB.Cells(destRow, 12).Value = wsV.Range("NV_D5").Value</t>
  </si>
  <si>
    <t xml:space="preserve">    wsB.Cells(destRow, 13).Value = wsV.Range("NV_D6").Value</t>
  </si>
  <si>
    <t xml:space="preserve">    wsB.Cells(destRow, 14).Value = wsV.Range("NV_D7").Value</t>
  </si>
  <si>
    <t xml:space="preserve">    wsB.Cells(destRow, 15).Value = wsV.Range("NV_D8").Value</t>
  </si>
  <si>
    <t xml:space="preserve">    wsB.Cells(destRow, 20).Value = alertaTxt</t>
  </si>
  <si>
    <t xml:space="preserve">    wsB.Cells(destRow, 23).Value = wsV.Range("NV_Estado").Value</t>
  </si>
  <si>
    <t xml:space="preserve">    wsB.Cells(destRow, 24).Value = wsV.Range("NV_Observaciones").Value</t>
  </si>
  <si>
    <t xml:space="preserve">    MsgBox "Ficha guardada correctamente en BASE DE DATOS (fila " &amp; destRow &amp; ")." &amp; vbCrLf &amp; _</t>
  </si>
  <si>
    <t xml:space="preserve">        "Revise la hoja PRIORIZACIÓN para ver su ubicación en el listado.", vbInformation, "Guardado exitoso"</t>
  </si>
  <si>
    <t>End Sub</t>
  </si>
  <si>
    <t>Sub NuevoRegistro()</t>
  </si>
  <si>
    <t xml:space="preserve">    Dim wsV As Worksheet</t>
  </si>
  <si>
    <t xml:space="preserve">    Dim c As Range</t>
  </si>
  <si>
    <t xml:space="preserve">    resp = MsgBox("¿Desea limpiar la ficha actual para iniciar un nuevo registro?" &amp; vbCrLf &amp; _</t>
  </si>
  <si>
    <t xml:space="preserve">        "Los datos no guardados en BASE DE DATOS se perderán.", vbYesNo + vbQuestion, "Nuevo registro")</t>
  </si>
  <si>
    <t xml:space="preserve">    If resp = vbNo Then Exit Sub</t>
  </si>
  <si>
    <t xml:space="preserve">    For Each c In wsV.UsedRange</t>
  </si>
  <si>
    <t xml:space="preserve">        If Not c.Locked Then</t>
  </si>
  <si>
    <t xml:space="preserve">            c.ClearContents</t>
  </si>
  <si>
    <t xml:space="preserve">        End If</t>
  </si>
  <si>
    <t xml:space="preserve">    Next c</t>
  </si>
  <si>
    <t xml:space="preserve">    MsgBox "Ficha lista para un nuevo registro.", vbInformation, "Nuevo registro"</t>
  </si>
  <si>
    <t>Fecha de actualización de la matriz:</t>
  </si>
  <si>
    <t>22/09/2026</t>
  </si>
  <si>
    <t>Versión de la herramienta:</t>
  </si>
  <si>
    <t>1.1</t>
  </si>
  <si>
    <t>MATRIZ DE VALORACIÓN DE VULNERABILIDAD FAMILIAR — CMCI</t>
  </si>
  <si>
    <t>Proyecto Integral de Gestión Técnica y Administrativa de los Centros Municipales de Cuidado Infantil Guasmo, Orquídeas y Bahía  ·  Ficha técnica individual de valoración  ·  Herramienta de apoyo técnico, no sustituye la valoración profesional</t>
  </si>
  <si>
    <t>A. IDENTIFICACIÓN DEL NIÑO/A Y DEL HOGAR</t>
  </si>
  <si>
    <t>Código del usuario</t>
  </si>
  <si>
    <t>Fecha de valoración</t>
  </si>
  <si>
    <t>Nombres y apellidos del niño/a</t>
  </si>
  <si>
    <t>Fecha de nacimiento</t>
  </si>
  <si>
    <t>Edad en meses (calculada)</t>
  </si>
  <si>
    <t>Rango objetivo CMCI: 12 - 42 meses</t>
  </si>
  <si>
    <t>Sexo</t>
  </si>
  <si>
    <t>CMCI al que postula</t>
  </si>
  <si>
    <t>Sector / parroquia</t>
  </si>
  <si>
    <t>Nombre del representante</t>
  </si>
  <si>
    <t>Parentesco del representante</t>
  </si>
  <si>
    <t>Teléfono de contacto</t>
  </si>
  <si>
    <t>Estado de la valoración</t>
  </si>
  <si>
    <t>B. INFORMACIÓN DEL HOGAR (alimenta indicadores calculados automáticamente)</t>
  </si>
  <si>
    <t>Ingreso familiar mensual total del hogar (USD)</t>
  </si>
  <si>
    <t>N° de integrantes del hogar</t>
  </si>
  <si>
    <t>N° de perceptores de ingreso en el hogar</t>
  </si>
  <si>
    <t>N° de niños, niñas y adolescentes (NNA) en el hogar</t>
  </si>
  <si>
    <t>N° de dormitorios de la vivienda</t>
  </si>
  <si>
    <t>C. MATRIZ DE VALORACIÓN POR DIMENSIONES DE VULNERABILIDAD</t>
  </si>
  <si>
    <t>Variable</t>
  </si>
  <si>
    <t>Pregunta orientativa</t>
  </si>
  <si>
    <t>Respuesta</t>
  </si>
  <si>
    <t>Puntaje
(0-4)</t>
  </si>
  <si>
    <t>Peso en
dimensión (%)</t>
  </si>
  <si>
    <t>Peso
global (%)</t>
  </si>
  <si>
    <t>Puntaje
ponderado</t>
  </si>
  <si>
    <t>ID</t>
  </si>
  <si>
    <t>D1. SITUACIÓN ECONÓMICA DEL HOGAR   (peso de la dimensión: 20%)</t>
  </si>
  <si>
    <t>Ingreso per cápita del hogar</t>
  </si>
  <si>
    <t>Ingreso mensual per cápita del hogar (calculado automáticamente: ingreso total ÷ N° integrantes) frente al valor de referencia definido en PARÁMETROS.</t>
  </si>
  <si>
    <t>I1.1</t>
  </si>
  <si>
    <t>Tipo de inserción laboral de los cuidadores</t>
  </si>
  <si>
    <t>¿Cuál es la situación de empleo de los cuidadores del hogar?</t>
  </si>
  <si>
    <t>I1.2</t>
  </si>
  <si>
    <t>Estabilidad de los ingresos familiares</t>
  </si>
  <si>
    <t>¿Qué tan estables son los ingresos del hogar?</t>
  </si>
  <si>
    <t>I1.3</t>
  </si>
  <si>
    <t>Relación de dependencia económica</t>
  </si>
  <si>
    <t>N° de integrantes del hogar por cada perceptor de ingreso (calculado automáticamente).</t>
  </si>
  <si>
    <t>I1.4</t>
  </si>
  <si>
    <t>Situación de pobreza según registro social u otra fuente verificable</t>
  </si>
  <si>
    <t>Según información disponible y verificable (Registro Social u otra fuente oficial), ¿cuál es la clasificación del hogar?</t>
  </si>
  <si>
    <t>I1.5</t>
  </si>
  <si>
    <t>Subtotal D1 — Situación económica del hogar</t>
  </si>
  <si>
    <t>D2. COMPOSICIÓN Y ESTRUCTURA FAMILIAR   (peso de la dimensión: 10%)</t>
  </si>
  <si>
    <t>Estructura y jefatura del hogar</t>
  </si>
  <si>
    <t>¿Cuál es la estructura de cuidado principal del hogar?</t>
  </si>
  <si>
    <t>I2.1</t>
  </si>
  <si>
    <t>Número de niños, niñas y adolescentes dependientes en el hogar</t>
  </si>
  <si>
    <t>N° de niños, niñas y adolescentes (NNA) que dependen del hogar (calculado automáticamente).</t>
  </si>
  <si>
    <t>I2.2</t>
  </si>
  <si>
    <t>Personas adicionales dependientes en el hogar</t>
  </si>
  <si>
    <t>¿Existen adultos mayores u otras personas con discapacidad que requieran cuidado y convivan en el hogar?</t>
  </si>
  <si>
    <t>I2.3</t>
  </si>
  <si>
    <t>Subtotal D2 — Composición y estructura familiar</t>
  </si>
  <si>
    <t>D3. SITUACIÓN LABORAL Y EDUCATIVA DE LOS CUIDADORES   (peso de la dimensión: 15%)</t>
  </si>
  <si>
    <t>Situación laboral del cuidador/a principal</t>
  </si>
  <si>
    <t>¿Cuál es la situación laboral actual del cuidador/a principal?</t>
  </si>
  <si>
    <t>I3.1</t>
  </si>
  <si>
    <t>Situación laboral del segundo cuidador/a (si existe)</t>
  </si>
  <si>
    <t>¿Cuál es la situación laboral del segundo cuidador/a, si existe?</t>
  </si>
  <si>
    <t>I3.2</t>
  </si>
  <si>
    <t>Compatibilidad del horario laboral/educativo con el cuidado del niño/a</t>
  </si>
  <si>
    <t>¿El horario laboral o educativo de los cuidadores es compatible con el cuidado del niño/a?</t>
  </si>
  <si>
    <t>I3.3</t>
  </si>
  <si>
    <t>Condición de estudios del cuidador/a principal</t>
  </si>
  <si>
    <t>¿El cuidador/a principal estudia actualmente?</t>
  </si>
  <si>
    <t>I3.4</t>
  </si>
  <si>
    <t>Subtotal D3 — Situación laboral y educativa de los cuidadores</t>
  </si>
  <si>
    <t>D4. CONDICIONES DE CUIDADO INFANTIL   (peso de la dimensión: 20%)</t>
  </si>
  <si>
    <t>Existencia de cuidador/a permanente durante la jornada</t>
  </si>
  <si>
    <t>¿El niño/a cuenta con un cuidador/a permanente y estable durante la jornada?</t>
  </si>
  <si>
    <t>I4.1</t>
  </si>
  <si>
    <t>Fragilidad del arreglo de cuidado actual (dependencia de familiares)</t>
  </si>
  <si>
    <t>¿Qué tan estable es el arreglo de cuidado actual si depende de familiares u otros terceros?</t>
  </si>
  <si>
    <t>I4.2</t>
  </si>
  <si>
    <t>Horas diarias sin cuidador/a adulto responsable</t>
  </si>
  <si>
    <t>¿Cuántas horas al día permanece el niño/a sin un cuidador/a adulto responsable?</t>
  </si>
  <si>
    <t>I4.3</t>
  </si>
  <si>
    <t>Riesgo de interrupción del cuidado actual</t>
  </si>
  <si>
    <t>¿Existe riesgo de que el arreglo de cuidado actual se interrumpa en las próximas semanas?</t>
  </si>
  <si>
    <t>I4.4</t>
  </si>
  <si>
    <t>Acceso actual a un servicio de cuidado infantil</t>
  </si>
  <si>
    <t>¿El niño/a accede actualmente a algún servicio de cuidado infantil formal?</t>
  </si>
  <si>
    <t>I4.5</t>
  </si>
  <si>
    <t>Subtotal D4 — Condiciones de cuidado infantil</t>
  </si>
  <si>
    <t>D5. CONDICIONES DE VIVIENDA   (peso de la dimensión: 10%)</t>
  </si>
  <si>
    <t>Tenencia de la vivienda</t>
  </si>
  <si>
    <t>¿Cuál es la condición de tenencia de la vivienda?</t>
  </si>
  <si>
    <t>I5.1</t>
  </si>
  <si>
    <t>Hacinamiento (personas por dormitorio)</t>
  </si>
  <si>
    <t>N° de integrantes del hogar por dormitorio (calculado automáticamente).</t>
  </si>
  <si>
    <t>I5.2</t>
  </si>
  <si>
    <t>Acceso a servicios básicos</t>
  </si>
  <si>
    <t>¿La vivienda cuenta con agua segura, saneamiento y energía eléctrica?</t>
  </si>
  <si>
    <t>I5.3</t>
  </si>
  <si>
    <t>Condiciones de riesgo físico o ambiental</t>
  </si>
  <si>
    <t>¿La vivienda o su entorno presentan condiciones de riesgo?</t>
  </si>
  <si>
    <t>I5.4</t>
  </si>
  <si>
    <t>Subtotal D5 — Condiciones de vivienda</t>
  </si>
  <si>
    <t>D6. SALUD Y DISCAPACIDAD   (peso de la dimensión: 10%)</t>
  </si>
  <si>
    <t>Necesidades de cuidado especial del niño/a por salud o discapacidad</t>
  </si>
  <si>
    <t>¿El niño/a presenta una condición de salud o discapacidad que requiera cuidados adicionales?</t>
  </si>
  <si>
    <t>I6.1</t>
  </si>
  <si>
    <t>Barreras de cuidado por discapacidad o enfermedad del cuidador/a</t>
  </si>
  <si>
    <t>¿El cuidador/a principal presenta alguna limitación de salud o discapacidad que afecte su capacidad de cuidado?</t>
  </si>
  <si>
    <t>I6.2</t>
  </si>
  <si>
    <t>Enfermedad crónica o catastrófica en el hogar con impacto en el cuidado</t>
  </si>
  <si>
    <t>¿Algún integrante del hogar presenta una enfermedad crónica o catastrófica que afecte la dinámica de cuidado?</t>
  </si>
  <si>
    <t>I6.3</t>
  </si>
  <si>
    <t>Acceso a servicios de salud</t>
  </si>
  <si>
    <t>¿El niño/a y su familia tienen acceso a servicios de salud?</t>
  </si>
  <si>
    <t>I6.4</t>
  </si>
  <si>
    <t>Subtotal D6 — Salud y discapacidad</t>
  </si>
  <si>
    <t>D7. PROTECCIÓN Y RIESGOS SOCIALES   (peso de la dimensión: 10%)</t>
  </si>
  <si>
    <t>Indicios de violencia intrafamiliar identificados</t>
  </si>
  <si>
    <t>¿Se identifican indicios de violencia intrafamiliar? (valoración cuidadosa, no acusatoria)</t>
  </si>
  <si>
    <t>I7.1</t>
  </si>
  <si>
    <t>Indicios de negligencia o abandono identificados</t>
  </si>
  <si>
    <t>¿Se identifican indicios de negligencia o abandono?</t>
  </si>
  <si>
    <t>I7.2</t>
  </si>
  <si>
    <t>Ausencia de redes de protección familiar o comunitaria</t>
  </si>
  <si>
    <t>¿El hogar cuenta con redes de protección familiar o comunitaria activas?</t>
  </si>
  <si>
    <t>I7.3</t>
  </si>
  <si>
    <t>Situación de movilidad humana o desplazamiento reciente</t>
  </si>
  <si>
    <t>¿La familia se encuentra en situación de movilidad humana o desplazamiento reciente?</t>
  </si>
  <si>
    <t>I7.4</t>
  </si>
  <si>
    <t>Otras condiciones de riesgo social o comunitario</t>
  </si>
  <si>
    <t>¿Se identifican otras condiciones de riesgo social o comunitario que requieran seguimiento o derivación?</t>
  </si>
  <si>
    <t>I7.5</t>
  </si>
  <si>
    <t>Subtotal D7 — Protección y riesgos sociales</t>
  </si>
  <si>
    <t>D8. REDES DE APOYO FAMILIAR Y COMUNITARIO   (peso de la dimensión: 5%)</t>
  </si>
  <si>
    <t>Disponibilidad de familiares cercanos que apoyen el cuidado</t>
  </si>
  <si>
    <t>¿Existen familiares cercanos que puedan apoyar el cuidado del niño/a?</t>
  </si>
  <si>
    <t>I8.1</t>
  </si>
  <si>
    <t>Frecuencia y consistencia del apoyo disponible</t>
  </si>
  <si>
    <t>¿Con qué frecuencia y consistencia se recibe el apoyo disponible?</t>
  </si>
  <si>
    <t>I8.2</t>
  </si>
  <si>
    <t>Apoyo comunitario o institucional disponible</t>
  </si>
  <si>
    <t>¿La familia cuenta con apoyo comunitario o institucional activo?</t>
  </si>
  <si>
    <t>I8.3</t>
  </si>
  <si>
    <t>Subtotal D8 — Redes de apoyo familiar y comunitario</t>
  </si>
  <si>
    <t>D. RESULTADO CONSOLIDADO DE LA VALORACIÓN</t>
  </si>
  <si>
    <t>PUNTAJE TOTAL OBTENIDO (sobre 100)</t>
  </si>
  <si>
    <t>PORCENTAJE DE VULNERABILIDAD</t>
  </si>
  <si>
    <t>NIVEL DE VULNERABILIDAD</t>
  </si>
  <si>
    <t>SEMÁFORO</t>
  </si>
  <si>
    <t>ALERTA DE PROTECCIÓN</t>
  </si>
  <si>
    <t>PRIORIDAD DE ATENCIÓN</t>
  </si>
  <si>
    <t>NECESIDAD DE CUIDADO INFANTIL</t>
  </si>
  <si>
    <t>E. ALERTAS Y CONSIDERACIONES (identificación automática; no constituye diagnóstico ni decisión profesional)</t>
  </si>
  <si>
    <t>Alerta</t>
  </si>
  <si>
    <t>Condición detectada</t>
  </si>
  <si>
    <t>Riesgo de protección (violencia, negligencia u otro riesgo social)</t>
  </si>
  <si>
    <t>Ausencia de cuidador/a permanente</t>
  </si>
  <si>
    <t>Jefatura monoparental sin apoyo</t>
  </si>
  <si>
    <t>Desempleo de cuidadores</t>
  </si>
  <si>
    <t>Hacinamiento</t>
  </si>
  <si>
    <t>Falta de servicios básicos</t>
  </si>
  <si>
    <t>Necesidad urgente de cuidado infantil</t>
  </si>
  <si>
    <t>Discapacidad o condición de salud que requiere valoración especializada</t>
  </si>
  <si>
    <t>Ausencia de red de apoyo familiar</t>
  </si>
  <si>
    <t>Otras condiciones críticas de riesgo social/comunitario</t>
  </si>
  <si>
    <t>F. RESULTADO DE VALORACIÓN — RESUMEN</t>
  </si>
  <si>
    <t>Código:</t>
  </si>
  <si>
    <t>Puntaje obtenido:</t>
  </si>
  <si>
    <t>Porcentaje de vulnerabilidad:</t>
  </si>
  <si>
    <t>Nivel:</t>
  </si>
  <si>
    <t>Prioridad:</t>
  </si>
  <si>
    <t>Alerta de protección:</t>
  </si>
  <si>
    <t>Necesidad de cuidado infantil:</t>
  </si>
  <si>
    <t>Observaciones:</t>
  </si>
  <si>
    <t>Nota: Este puntaje es una herramienta técnica de apoyo a la focalización y priorización. NO sustituye la valoración profesional (trabajo social / psicología) ni determina por sí sola la admisión o una medida de protección.</t>
  </si>
  <si>
    <t>💾  GUARDAR FICHA EN BASE DE DATOS</t>
  </si>
  <si>
    <t>🆕  NUEVO REGISTRO (LIMPIAR FICHA)</t>
  </si>
  <si>
    <t>Guarda el código y los 8 puntajes por dimensión en BASE DE DATOS (solo se recomienda para nivel moderado, alto o crítico).</t>
  </si>
  <si>
    <t>Limpia las celdas amarillas de esta ficha para iniciar un nuevo registro.</t>
  </si>
  <si>
    <t>PARÁMETROS DE LA MATRIZ DE VALORACIÓN — CMCI</t>
  </si>
  <si>
    <t>Modifique únicamente las celdas resaltadas en amarillo. Las fórmulas de las demás hojas leen automáticamente desde aquí: no es necesario editar fórmulas en otras hojas.</t>
  </si>
  <si>
    <t>1. DIMENSIONES DE VULNERABILIDAD Y PESO (%)  — deben sumar 100%</t>
  </si>
  <si>
    <t>Código</t>
  </si>
  <si>
    <t>Dimensión</t>
  </si>
  <si>
    <t>Peso (%)</t>
  </si>
  <si>
    <t>D1</t>
  </si>
  <si>
    <t>Situación económica del hogar</t>
  </si>
  <si>
    <t>D2</t>
  </si>
  <si>
    <t>Composición y estructura familiar</t>
  </si>
  <si>
    <t>D3</t>
  </si>
  <si>
    <t>Situación laboral y educativa de los cuidadores</t>
  </si>
  <si>
    <t>D4</t>
  </si>
  <si>
    <t>Condiciones de cuidado infantil</t>
  </si>
  <si>
    <t>D5</t>
  </si>
  <si>
    <t>Condiciones de vivienda</t>
  </si>
  <si>
    <t>D6</t>
  </si>
  <si>
    <t>Salud y discapacidad</t>
  </si>
  <si>
    <t>D7</t>
  </si>
  <si>
    <t>Protección y riesgos sociales</t>
  </si>
  <si>
    <t>D8</t>
  </si>
  <si>
    <t>Redes de apoyo familiar y comunitario</t>
  </si>
  <si>
    <t>TOTAL (debe ser 100%)</t>
  </si>
  <si>
    <t>2. INDICADORES — PESO DENTRO DE LA DIMENSIÓN Y PESO GLOBAL (calculado)</t>
  </si>
  <si>
    <t>Dim.</t>
  </si>
  <si>
    <t>Peso en la dimensión (%)</t>
  </si>
  <si>
    <t>Peso global (%)</t>
  </si>
  <si>
    <t>TOTAL PESO GLOBAL (debe ser 100%)</t>
  </si>
  <si>
    <t>Verificación: suma de pesos dentro de cada dimensión (cada una debe ser 100%)</t>
  </si>
  <si>
    <t xml:space="preserve">  D1 - Situación económica del hogar</t>
  </si>
  <si>
    <t xml:space="preserve">  D2 - Composición y estructura familiar</t>
  </si>
  <si>
    <t xml:space="preserve">  D3 - Situación laboral y educativa de los cuidadores</t>
  </si>
  <si>
    <t xml:space="preserve">  D4 - Condiciones de cuidado infantil</t>
  </si>
  <si>
    <t xml:space="preserve">  D5 - Condiciones de vivienda</t>
  </si>
  <si>
    <t xml:space="preserve">  D6 - Salud y discapacidad</t>
  </si>
  <si>
    <t xml:space="preserve">  D7 - Protección y riesgos sociales</t>
  </si>
  <si>
    <t xml:space="preserve">  D8 - Redes de apoyo familiar y comunitario</t>
  </si>
  <si>
    <t>3. OPCIONES DE RESPUESTA Y PUNTAJE (0 = sin vulnerabilidad … 4 = vulnerabilidad crítica)</t>
  </si>
  <si>
    <t>ID Indicador</t>
  </si>
  <si>
    <t>Opción de respuesta</t>
  </si>
  <si>
    <t>Puntaje (0-4)</t>
  </si>
  <si>
    <t>Ambos/el único cuidador con empleo formal</t>
  </si>
  <si>
    <t>Ambos/el único cuidador con empleo informal</t>
  </si>
  <si>
    <t>Ambos cuidadores desempleados o sin fuente de ingreso propia</t>
  </si>
  <si>
    <t>Ingresos estables y permanentes</t>
  </si>
  <si>
    <t>Ingresos variables pero frecuentes</t>
  </si>
  <si>
    <t>Ingresos ocasionales o esporádicos</t>
  </si>
  <si>
    <t>Sin ingresos fijos ni ocasionales</t>
  </si>
  <si>
    <t>No consta clasificación de pobreza / sin dato disponible</t>
  </si>
  <si>
    <t>Clasificado como en situación de vulnerabilidad</t>
  </si>
  <si>
    <t>Clasificado en situación de pobreza</t>
  </si>
  <si>
    <t>Clasificado en situación de pobreza extrema</t>
  </si>
  <si>
    <t>Hogar biparental (ambos progenitores presentes y a cargo)</t>
  </si>
  <si>
    <t>Niño/a bajo cuidado de terceros (sin ninguno de los progenitores)</t>
  </si>
  <si>
    <t>Ninguna persona adicional dependiente</t>
  </si>
  <si>
    <t>1 persona adicional dependiente</t>
  </si>
  <si>
    <t>2 o más personas adicionales dependientes</t>
  </si>
  <si>
    <t>Empleo formal estable</t>
  </si>
  <si>
    <t>Empleo informal o actividad independiente</t>
  </si>
  <si>
    <t>No aplica (hogar con un solo cuidador)</t>
  </si>
  <si>
    <t>Desempleado/a</t>
  </si>
  <si>
    <t>Horario compatible con el cuidado del niño/a</t>
  </si>
  <si>
    <t>Parcialmente compatible (requiere apoyo parcial)</t>
  </si>
  <si>
    <t>No estudia actualmente</t>
  </si>
  <si>
    <t>Estudia y cuenta con apoyo para el cuidado del niño/a</t>
  </si>
  <si>
    <t>Estudia y NO cuenta con apoyo para el cuidado del niño/a</t>
  </si>
  <si>
    <t>No cuenta con cuidador/a permanente</t>
  </si>
  <si>
    <t>No depende de terceros; arreglo estable</t>
  </si>
  <si>
    <t>Depende de familiares con disponibilidad limitada</t>
  </si>
  <si>
    <t>Depende de familiares con alta probabilidad de discontinuidad</t>
  </si>
  <si>
    <t>Ninguna hora</t>
  </si>
  <si>
    <t>1 a 2 horas</t>
  </si>
  <si>
    <t>3 a 4 horas</t>
  </si>
  <si>
    <t>5 horas o más</t>
  </si>
  <si>
    <t>Sin riesgo identificado</t>
  </si>
  <si>
    <t>Riesgo posible</t>
  </si>
  <si>
    <t>Riesgo alto o inminente</t>
  </si>
  <si>
    <t>Ya accede a un servicio formal de cuidado infantil</t>
  </si>
  <si>
    <t>Accede parcialmente o a un servicio informal</t>
  </si>
  <si>
    <t>No accede a ningún servicio de cuidado infantil</t>
  </si>
  <si>
    <t>Propia</t>
  </si>
  <si>
    <t>Arrendada</t>
  </si>
  <si>
    <t>Prestada o cedida</t>
  </si>
  <si>
    <t>Cuenta con los 3 servicios básicos</t>
  </si>
  <si>
    <t>Cuenta con 2 de los 3 servicios básicos</t>
  </si>
  <si>
    <t>Cuenta con 1 o ningún servicio básico</t>
  </si>
  <si>
    <t>Sin riesgos identificados</t>
  </si>
  <si>
    <t>Riesgo moderado (estado de la vivienda o ubicación)</t>
  </si>
  <si>
    <t>Sin condición que requiera cuidado especial</t>
  </si>
  <si>
    <t>Sin limitación</t>
  </si>
  <si>
    <t>Limitación parcial para el cuidado</t>
  </si>
  <si>
    <t>Limitación severa para el cuidado</t>
  </si>
  <si>
    <t>No aplica</t>
  </si>
  <si>
    <t>Acceso regular (afiliación/atención garantizada)</t>
  </si>
  <si>
    <t>Acceso limitado o intermitente</t>
  </si>
  <si>
    <t>Sin acceso a servicios de salud</t>
  </si>
  <si>
    <t>No se identifican indicios</t>
  </si>
  <si>
    <t>Indicios que ameritan observación</t>
  </si>
  <si>
    <t>Indicios claros que ameritan derivación</t>
  </si>
  <si>
    <t>Cuenta con redes de protección activas</t>
  </si>
  <si>
    <t>Redes de protección limitadas</t>
  </si>
  <si>
    <t>Sin ninguna red de protección</t>
  </si>
  <si>
    <t>No se identifican</t>
  </si>
  <si>
    <t>Disponibilidad limitada</t>
  </si>
  <si>
    <t>Sin disponibilidad</t>
  </si>
  <si>
    <t>Apoyo frecuente y confiable</t>
  </si>
  <si>
    <t>Apoyo ocasional</t>
  </si>
  <si>
    <t>Apoyo inexistente o poco confiable</t>
  </si>
  <si>
    <t>Cuenta con apoyo comunitario/institucional activo</t>
  </si>
  <si>
    <t>Apoyo comunitario/institucional limitado</t>
  </si>
  <si>
    <t>Sin apoyo comunitario/institucional</t>
  </si>
  <si>
    <t>4. RANGOS DE VULNERABILIDAD (sobre el porcentaje total 0-100%) — propuesta técnica, editable</t>
  </si>
  <si>
    <t>Nivel</t>
  </si>
  <si>
    <t>Desde (%)</t>
  </si>
  <si>
    <t>Hasta (%)</t>
  </si>
  <si>
    <t>Color</t>
  </si>
  <si>
    <t>63BE7B</t>
  </si>
  <si>
    <t>9BD16E</t>
  </si>
  <si>
    <t>FFEB84</t>
  </si>
  <si>
    <t>F8A354</t>
  </si>
  <si>
    <t>F8696B</t>
  </si>
  <si>
    <t>5. CATEGORÍAS DE PRIORIDAD DE ATENCIÓN — propuesta técnica, editable</t>
  </si>
  <si>
    <t>Descripción</t>
  </si>
  <si>
    <t>6. UMBRALES PARA INDICADORES CALCULADOS AUTOMÁTICAMENTE — editables</t>
  </si>
  <si>
    <t>Parámetro</t>
  </si>
  <si>
    <t>Valor</t>
  </si>
  <si>
    <t>CanastaRef</t>
  </si>
  <si>
    <t>Ingreso mensual per cápita de referencia (USD). Actualizar según información oficial vigente (ej. INEC/Canasta Familiar Básica). Valor ilustrativo.</t>
  </si>
  <si>
    <t>RatioT_100</t>
  </si>
  <si>
    <t>Ingreso per cápita / referencia ≥ este valor -&gt; puntaje 0</t>
  </si>
  <si>
    <t>RatioT_075</t>
  </si>
  <si>
    <t>Ingreso per cápita / referencia ≥ este valor -&gt; puntaje 1</t>
  </si>
  <si>
    <t>RatioT_050</t>
  </si>
  <si>
    <t>Ingreso per cápita / referencia ≥ este valor -&gt; puntaje 2</t>
  </si>
  <si>
    <t>RatioT_025</t>
  </si>
  <si>
    <t>Ingreso per cápita / referencia ≥ este valor -&gt; puntaje 3; por debajo -&gt; puntaje 4</t>
  </si>
  <si>
    <t>DepT_1</t>
  </si>
  <si>
    <t>Integrantes por perceptor de ingreso ≤ este valor -&gt; puntaje 0</t>
  </si>
  <si>
    <t>DepT_2</t>
  </si>
  <si>
    <t>Integrantes por perceptor ≤ este valor -&gt; puntaje 1</t>
  </si>
  <si>
    <t>DepT_3</t>
  </si>
  <si>
    <t>Integrantes por perceptor ≤ este valor -&gt; puntaje 2</t>
  </si>
  <si>
    <t>DepT_4</t>
  </si>
  <si>
    <t>Integrantes por perceptor ≤ este valor -&gt; puntaje 3; por encima -&gt; puntaje 4</t>
  </si>
  <si>
    <t>NnaT_2</t>
  </si>
  <si>
    <t>N° de NNA en el hogar ≤ este valor -&gt; puntaje 0</t>
  </si>
  <si>
    <t>NnaT_3</t>
  </si>
  <si>
    <t>N° de NNA en el hogar = este valor -&gt; puntaje 1</t>
  </si>
  <si>
    <t>NnaT_4</t>
  </si>
  <si>
    <t>N° de NNA en el hogar = este valor -&gt; puntaje 2; por encima -&gt; puntaje 3</t>
  </si>
  <si>
    <t>HacT_2</t>
  </si>
  <si>
    <t>Personas por dormitorio ≤ este valor -&gt; puntaje 0</t>
  </si>
  <si>
    <t>HacT_3</t>
  </si>
  <si>
    <t>Personas por dormitorio ≤ este valor -&gt; puntaje 2; por encima -&gt; puntaje 4</t>
  </si>
  <si>
    <t>7. LISTAS DE VALIDACIÓN (usadas en menús desplegables)</t>
  </si>
  <si>
    <t>CMCI</t>
  </si>
  <si>
    <t>Parentesco</t>
  </si>
  <si>
    <t>Estado de valoración</t>
  </si>
  <si>
    <t>Sí/No</t>
  </si>
  <si>
    <t>Sí/No/Parcialmente</t>
  </si>
  <si>
    <t>Tenencia vivienda</t>
  </si>
  <si>
    <t>CMCI Guasmo</t>
  </si>
  <si>
    <t>Madre</t>
  </si>
  <si>
    <t>En proceso</t>
  </si>
  <si>
    <t>Femenino</t>
  </si>
  <si>
    <t>Sí</t>
  </si>
  <si>
    <t>CMCI Bahía</t>
  </si>
  <si>
    <t>Padre</t>
  </si>
  <si>
    <t>Completa</t>
  </si>
  <si>
    <t>Masculino</t>
  </si>
  <si>
    <t>No</t>
  </si>
  <si>
    <t>CMCI Orquídeas</t>
  </si>
  <si>
    <t>Abuela/o</t>
  </si>
  <si>
    <t>Pendiente de revisión</t>
  </si>
  <si>
    <t>Parcialmente</t>
  </si>
  <si>
    <t>Otro Centro</t>
  </si>
  <si>
    <t>Tía/o</t>
  </si>
  <si>
    <t>Validada</t>
  </si>
  <si>
    <t>Otra</t>
  </si>
  <si>
    <t>Hermana/o mayor</t>
  </si>
  <si>
    <t>Admitida</t>
  </si>
  <si>
    <t>Otro familiar</t>
  </si>
  <si>
    <t>No admitida</t>
  </si>
  <si>
    <t>Tutor/a legal</t>
  </si>
  <si>
    <t>Lista de espera</t>
  </si>
  <si>
    <t>BASE DE DATOS DE POSTULANTES — CMCI</t>
  </si>
  <si>
    <t>Cada fila representa un/a posible usuario/a. Ingrese la identificación y los 8 puntajes por dimensión (obtenidos en la hoja VALORACIÓN, sección D — subtotales). Las columnas P a W y Y se calculan automáticamente.</t>
  </si>
  <si>
    <t>Niño/a (Nombres y apellidos)</t>
  </si>
  <si>
    <t>Edad (meses)</t>
  </si>
  <si>
    <t>Sector / Parroquia</t>
  </si>
  <si>
    <t>Punt. D1
Económico
(0-20)</t>
  </si>
  <si>
    <t>Punt. D2
Familiar
(0-10)</t>
  </si>
  <si>
    <t>Punt. D3
Laboral
(0-15)</t>
  </si>
  <si>
    <t>Punt. D4
Cuidado
(0-20)</t>
  </si>
  <si>
    <t>Punt. D5
Vivienda
(0-10)</t>
  </si>
  <si>
    <t>Punt. D6
Salud
(0-10)</t>
  </si>
  <si>
    <t>Punt. D7
Protección
(0-10)</t>
  </si>
  <si>
    <t>Punt. D8
Redes
(0-5)</t>
  </si>
  <si>
    <t>Puntaje
Total
(0-100)</t>
  </si>
  <si>
    <t>Porcentaje
Vulnerabilidad</t>
  </si>
  <si>
    <t>Nivel de
Vulnerabilidad</t>
  </si>
  <si>
    <t>Alerta de
Protección
(Sí/No)</t>
  </si>
  <si>
    <t>Necesidad de
Cuidado Infantil</t>
  </si>
  <si>
    <t>Estado de
Valoración</t>
  </si>
  <si>
    <t>Observaciones</t>
  </si>
  <si>
    <t>Orden
(interno)</t>
  </si>
  <si>
    <t>Posición
(ranking)</t>
  </si>
  <si>
    <t>LISTADO DE PRIORIZACIÓN — CMCI</t>
  </si>
  <si>
    <t>Listado ordenado automáticamente según: 1) prioridad de atención, 2) existencia de alerta de protección, 3) puntaje total de vulnerabilidad. Use los filtros del encabezado para filtrar por CMCI, nivel, prioridad, sexo, edad, sector, estado de valoración o alertas. Este orden es un apoyo técnico a la focalización; la decisión final de admisión corresponde al equipo técnico e institucional.</t>
  </si>
  <si>
    <t>N° Orden</t>
  </si>
  <si>
    <t>Niño/a</t>
  </si>
  <si>
    <t>Sector/Parroquia</t>
  </si>
  <si>
    <t>Fecha valoración</t>
  </si>
  <si>
    <t>Puntaje Total</t>
  </si>
  <si>
    <t>Porcentaje</t>
  </si>
  <si>
    <t>Nivel de Vulnerabilidad</t>
  </si>
  <si>
    <t>Alerta Protección</t>
  </si>
  <si>
    <t>Estado de Valoración</t>
  </si>
  <si>
    <t>Necesidad de Cuidado</t>
  </si>
  <si>
    <t>DASHBOARD — CENTROS MUNICIPALES DE CUIDADO INFANTIL (CMCI)</t>
  </si>
  <si>
    <t>Resumen automático a partir de la hoja BASE DE DATOS. Se actualiza al ingresar o modificar registros.</t>
  </si>
  <si>
    <t>INDICADORES GENERALES</t>
  </si>
  <si>
    <t>Total de postulantes valorados</t>
  </si>
  <si>
    <t>Promedio de vulnerabilidad (%)</t>
  </si>
  <si>
    <t>DISTRIBUCIÓN POR NIVEL DE VULNERABILIDAD</t>
  </si>
  <si>
    <t>N° de casos</t>
  </si>
  <si>
    <t>% del total</t>
  </si>
  <si>
    <t>DISTRIBUCIÓN POR PRIORIDAD DE ATENCIÓN</t>
  </si>
  <si>
    <t>PROTECCIÓN Y ESTADO</t>
  </si>
  <si>
    <t>Casos con alerta de protección</t>
  </si>
  <si>
    <t>POSTULANTES POR CMCI</t>
  </si>
  <si>
    <t>N° de postulantes</t>
  </si>
  <si>
    <t>HOJA DE PRUEBAS — CASOS FICTICIOS DE VALIDACIÓN</t>
  </si>
  <si>
    <t>Esta hoja es independiente de BASE DE DATOS (que se entrega vacía y lista para usar). Toma 5 puntajes totales ficticios que cubren los 5 niveles de vulnerabilidad y calcula, con las MISMAS fórmulas y parámetros que usan VALORACIÓN y BASE DE DATOS (hoja PARÁMETROS), el nivel y la prioridad resultantes, para comprobar que la clasificación funciona correctamente y que la alerta de protección obliga PRIORIDAD 1 aunque el puntaje no sea el más alto.</t>
  </si>
  <si>
    <t>Descripción del caso</t>
  </si>
  <si>
    <t>Puntaje total
(ficticio)</t>
  </si>
  <si>
    <t>Alerta de
protección (dato)</t>
  </si>
  <si>
    <t>Nivel esperado</t>
  </si>
  <si>
    <t>Nivel calculado
(fórmula real)</t>
  </si>
  <si>
    <t>Prioridad esperada</t>
  </si>
  <si>
    <t>Prioridad calculada
(fórmula real)</t>
  </si>
  <si>
    <t>¿Coincide?</t>
  </si>
  <si>
    <t>PRB-001</t>
  </si>
  <si>
    <t>Caso ficticio 1 (muy baja)</t>
  </si>
  <si>
    <t>PRB-002</t>
  </si>
  <si>
    <t>Caso ficticio 2 (baja)</t>
  </si>
  <si>
    <t>PRB-003</t>
  </si>
  <si>
    <t>Caso ficticio 3 (moderada)</t>
  </si>
  <si>
    <t>PRB-004</t>
  </si>
  <si>
    <t>Caso ficticio 4 (alta)</t>
  </si>
  <si>
    <t>PRB-005</t>
  </si>
  <si>
    <t>Caso ficticio 5 (moderada + alerta de protección)</t>
  </si>
  <si>
    <t>PRIORIDAD 1 (por alerta)</t>
  </si>
  <si>
    <t>Otras verificaciones realizadas antes de la entrega:</t>
  </si>
  <si>
    <t>• Verificación de que los pesos de las 8 dimensiones suman 100% (ver hoja PARÁMETROS, bloque 1).</t>
  </si>
  <si>
    <t>• Verificación de que la suma de pesos dentro de cada dimensión es 100% (ver hoja PARÁMETROS, bloque 2).</t>
  </si>
  <si>
    <t>• Prueba de la hoja VALORACIÓN con un caso de vulnerabilidad crítica (todas las respuestas en el nivel más alto): resultado 87.7% — Vulnerabilidad crítica — Prioridad 1 — Alerta de protección SÍ.</t>
  </si>
  <si>
    <t>• Prueba de la hoja VALORACIÓN con un caso de vulnerabilidad mínima (todas las respuestas en el nivel más favorable): resultado 1.0% — Vulnerabilidad muy baja — Prioridad 3 — Alerta de protección NO.</t>
  </si>
  <si>
    <t>• Verificación de ausencia de errores de fórmula (tipo N/A, VALOR, DIV entre cero o REF) en todo el libro mediante recálculo completo.</t>
  </si>
  <si>
    <t>• Verificación de que el semáforo y la prioridad cambian correctamente al modificar respuestas o umbrales en PARÁMETROS.</t>
  </si>
  <si>
    <t>• Verificación de las fórmulas de PRIORIZACIÓN (orden automático) y DASHBOARD (conteos y promedios) con registros de prueba temporales, retirados antes de la entrega final.</t>
  </si>
  <si>
    <r>
      <t>Las celdas con fondo amarillo son de ingreso de datos; las demás contienen fórmulas protegidas para evitar su modificación accidental. Para actualizar la metodología (pesos, puntajes, rangos, prioridades o umbrales) edite únicamente la hoja PARÁMETROS. Contraseña de protección de hojas (referencial, puede cambiarse):</t>
    </r>
    <r>
      <rPr>
        <sz val="10"/>
        <color theme="0"/>
        <rFont val="Arial Nova Light"/>
        <family val="2"/>
      </rPr>
      <t xml:space="preserve"> CMCI2026.</t>
    </r>
  </si>
  <si>
    <r>
      <t xml:space="preserve">1) Para valorar un caso individual:  abra la hoja VALORACIÓN, 
El codigo de usuario se debe crear de la siguente forma: 
</t>
    </r>
    <r>
      <rPr>
        <b/>
        <sz val="10"/>
        <color rgb="FF000000"/>
        <rFont val="Arial Nova Light"/>
        <family val="2"/>
      </rPr>
      <t xml:space="preserve">CMCI Bahía: FV-GASIBA-2026-BH-001
CMCI Guasmo: FV-GASIBA-2026-GU-001
CMCI Orquídeas: FV-GASIBA-2026-OR-001
</t>
    </r>
    <r>
      <rPr>
        <sz val="10"/>
        <color rgb="FF000000"/>
        <rFont val="Arial Nova Light"/>
        <family val="2"/>
      </rPr>
      <t>complete la identificación del niño/a y la información numérica del hogar (ingreso, integrantes, perceptores, NNA, dormitorios), y responda cada indicador de la matriz seleccionando una opción de la lista desplegable. Los indicadores marcados como automáticos (ingreso per cápita, dependencia económica, N° de NNA y hacinamiento) se calculan solos a partir de la información del hogar.</t>
    </r>
  </si>
  <si>
    <t>Un cuidador con empleo formal</t>
  </si>
  <si>
    <t>Un cuidador desempleado</t>
  </si>
  <si>
    <t>Busca empleo activamente</t>
  </si>
  <si>
    <t>Otro informal o sin empleo</t>
  </si>
  <si>
    <t>Desempleado/a busca empleo activamente</t>
  </si>
  <si>
    <t>Sin empleo sin búsqueda activa registrada</t>
  </si>
  <si>
    <t>Incompatible (jornada completa turnos rotativos o nocturnos)</t>
  </si>
  <si>
    <t>Sí cuenta con cuidador/a permanente y estable</t>
  </si>
  <si>
    <t>Cuenta con cuidador/a pero de forma parcial o inestable</t>
  </si>
  <si>
    <t>Situación de alojamiento inestable (albergue compartida forzosamente etc.)</t>
  </si>
  <si>
    <t>Riesgo alto (zona de deslaves ríos inseguridad vivienda en mal estado)</t>
  </si>
  <si>
    <t>Condición que requiere cuidados adicionales_actualmente cubiertos</t>
  </si>
  <si>
    <t>Condición que requiere cuidados adicionales_ NO cubiertos</t>
  </si>
  <si>
    <t>Sí_con impacto moderado en el cuidado</t>
  </si>
  <si>
    <t>Sí_con impacto severo en el cuidado</t>
  </si>
  <si>
    <t>Sí_ con proceso de regularización/adaptación en curso</t>
  </si>
  <si>
    <t>Sí_en situación de alta vulnerabilidad (reciente, irregular, sin redes)</t>
  </si>
  <si>
    <t>Se identifican_requieren seguimiento</t>
  </si>
  <si>
    <t>Se identifican_requieren derivación inmediata</t>
  </si>
  <si>
    <t>Sí_disponibilidad amplia</t>
  </si>
  <si>
    <t>Hogar monoparental_con apoyo familiar cercano disponible</t>
  </si>
  <si>
    <t>Hogar monoparental_sin apoyo familiar cercano disponible</t>
  </si>
  <si>
    <t>TARQUI</t>
  </si>
  <si>
    <t>FV-GASIBA-2026-OR-002</t>
  </si>
  <si>
    <t>FV-GASIBA-2026-OR-001</t>
  </si>
  <si>
    <t>JONATHAN PEÑA</t>
  </si>
  <si>
    <t xml:space="preserve">JAVIER GASTIABURO </t>
  </si>
  <si>
    <t xml:space="preserve">RUBI ANCHUNDIA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</si>
</sst>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yyyy"/>
    <numFmt numFmtId="165" formatCode="\$#,##0.00"/>
    <numFmt numFmtId="166" formatCode="0.00\%"/>
    <numFmt numFmtId="167" formatCode="0.0%"/>
    <numFmt numFmtId="168" formatCode="0\%"/>
    <numFmt numFmtId="169" formatCode="0.0000"/>
  </numFmts>
  <fonts count="51" x14ac:knownFonts="1">
    <font>
      <sz val="11"/>
      <color theme="1"/>
      <name val="Calibri"/>
      <family val="2"/>
      <charset val="1"/>
    </font>
    <font>
      <b/>
      <sz val="11"/>
      <color rgb="FF163B47"/>
      <name val="Arial"/>
      <family val="2"/>
    </font>
    <font>
      <sz val="10"/>
      <color rgb="FF000000"/>
      <name val="Arial"/>
      <family val="2"/>
    </font>
    <font>
      <sz val="9.5"/>
      <color rgb="FF000000"/>
      <name val="Arial"/>
      <family val="2"/>
    </font>
    <font>
      <b/>
      <sz val="10"/>
      <color rgb="FF000000"/>
      <name val="Arial"/>
      <family val="2"/>
    </font>
    <font>
      <b/>
      <sz val="9.5"/>
      <color rgb="FFFFFFFF"/>
      <name val="Arial"/>
      <family val="2"/>
    </font>
    <font>
      <b/>
      <sz val="15"/>
      <color rgb="FFFFFFFF"/>
      <name val="Arial"/>
      <family val="2"/>
    </font>
    <font>
      <i/>
      <sz val="9.5"/>
      <color rgb="FF6B7280"/>
      <name val="Arial"/>
      <family val="2"/>
    </font>
    <font>
      <sz val="10"/>
      <color rgb="FF8A5A00"/>
      <name val="Arial"/>
      <family val="2"/>
    </font>
    <font>
      <b/>
      <sz val="13"/>
      <color rgb="FF163B47"/>
      <name val="Arial"/>
      <family val="2"/>
    </font>
    <font>
      <i/>
      <sz val="9"/>
      <color rgb="FF6B7280"/>
      <name val="Arial"/>
      <family val="2"/>
    </font>
    <font>
      <b/>
      <sz val="10"/>
      <color rgb="FF1E7B34"/>
      <name val="Arial"/>
      <family val="2"/>
    </font>
    <font>
      <sz val="9"/>
      <color rgb="FF000000"/>
      <name val="Arial"/>
      <family val="2"/>
    </font>
    <font>
      <b/>
      <sz val="14"/>
      <color rgb="FFFFFFFF"/>
      <name val="Arial"/>
      <family val="2"/>
    </font>
    <font>
      <b/>
      <sz val="8.5"/>
      <color rgb="FFFFFFFF"/>
      <name val="Arial"/>
      <family val="2"/>
    </font>
    <font>
      <b/>
      <sz val="12"/>
      <color rgb="FFC0392B"/>
      <name val="Arial"/>
      <family val="2"/>
    </font>
    <font>
      <b/>
      <sz val="15"/>
      <color rgb="FFFFFFFF"/>
      <name val="Arial Nova Light"/>
      <family val="2"/>
    </font>
    <font>
      <sz val="11"/>
      <color theme="1"/>
      <name val="Arial Nova Light"/>
      <family val="2"/>
    </font>
    <font>
      <b/>
      <sz val="11"/>
      <color rgb="FF163B47"/>
      <name val="Arial Nova Light"/>
      <family val="2"/>
    </font>
    <font>
      <b/>
      <sz val="9.5"/>
      <color rgb="FF000000"/>
      <name val="Arial Nova Light"/>
      <family val="2"/>
    </font>
    <font>
      <sz val="10"/>
      <color rgb="FF8A5A00"/>
      <name val="Arial Nova Light"/>
      <family val="2"/>
    </font>
    <font>
      <b/>
      <sz val="10"/>
      <color rgb="FF163B47"/>
      <name val="Arial Nova Light"/>
      <family val="2"/>
    </font>
    <font>
      <i/>
      <sz val="8.5"/>
      <color rgb="FF6B7280"/>
      <name val="Arial Nova Light"/>
      <family val="2"/>
    </font>
    <font>
      <b/>
      <sz val="10"/>
      <color rgb="FF000000"/>
      <name val="Arial Nova Light"/>
      <family val="2"/>
    </font>
    <font>
      <b/>
      <sz val="9.5"/>
      <color rgb="FFFFFFFF"/>
      <name val="Arial Nova Light"/>
      <family val="2"/>
    </font>
    <font>
      <b/>
      <sz val="10.5"/>
      <color rgb="FFFFFFFF"/>
      <name val="Arial Nova Light"/>
      <family val="2"/>
    </font>
    <font>
      <sz val="10"/>
      <color rgb="FF000000"/>
      <name val="Arial Nova Light"/>
      <family val="2"/>
    </font>
    <font>
      <sz val="8"/>
      <color rgb="FF6B7280"/>
      <name val="Arial Nova Light"/>
      <family val="2"/>
    </font>
    <font>
      <b/>
      <sz val="9.5"/>
      <color rgb="FF163B47"/>
      <name val="Arial Nova Light"/>
      <family val="2"/>
    </font>
    <font>
      <b/>
      <sz val="11"/>
      <color rgb="FF000000"/>
      <name val="Arial Nova Light"/>
      <family val="2"/>
    </font>
    <font>
      <b/>
      <sz val="13"/>
      <color rgb="FF163B47"/>
      <name val="Arial Nova Light"/>
      <family val="2"/>
    </font>
    <font>
      <b/>
      <sz val="12"/>
      <color rgb="FF163B47"/>
      <name val="Arial Nova Light"/>
      <family val="2"/>
    </font>
    <font>
      <b/>
      <sz val="12"/>
      <color rgb="FF000000"/>
      <name val="Arial Nova Light"/>
      <family val="2"/>
    </font>
    <font>
      <b/>
      <sz val="11"/>
      <color rgb="FFC0392B"/>
      <name val="Arial Nova Light"/>
      <family val="2"/>
    </font>
    <font>
      <b/>
      <sz val="11"/>
      <color rgb="FFFFFFFF"/>
      <name val="Arial Nova Light"/>
      <family val="2"/>
    </font>
    <font>
      <b/>
      <sz val="10.5"/>
      <color rgb="FF000000"/>
      <name val="Arial Nova Light"/>
      <family val="2"/>
    </font>
    <font>
      <i/>
      <sz val="9"/>
      <color rgb="FF6B7280"/>
      <name val="Arial Nova Light"/>
      <family val="2"/>
    </font>
    <font>
      <i/>
      <sz val="8"/>
      <color rgb="FF6B7280"/>
      <name val="Arial Nova Light"/>
      <family val="2"/>
    </font>
    <font>
      <i/>
      <sz val="8"/>
      <color rgb="FFC0392B"/>
      <name val="Arial Nova Light"/>
      <family val="2"/>
    </font>
    <font>
      <b/>
      <sz val="16"/>
      <color rgb="FFFFFFFF"/>
      <name val="Arial Nova Light"/>
      <family val="2"/>
    </font>
    <font>
      <sz val="9.5"/>
      <color rgb="FF000000"/>
      <name val="Arial Nova Light"/>
      <family val="2"/>
    </font>
    <font>
      <b/>
      <sz val="10"/>
      <color rgb="FFC0392B"/>
      <name val="Arial Nova Light"/>
      <family val="2"/>
    </font>
    <font>
      <sz val="10"/>
      <color theme="0"/>
      <name val="Arial Nova Light"/>
      <family val="2"/>
    </font>
    <font>
      <sz val="8.5"/>
      <color rgb="FF163B47"/>
      <name val="Arial Nova Light"/>
      <family val="2"/>
    </font>
    <font>
      <b/>
      <sz val="10"/>
      <color rgb="FF0066FF"/>
      <name val="Arial Nova Light"/>
      <family val="2"/>
    </font>
    <font>
      <b/>
      <sz val="11"/>
      <color rgb="FF0066FF"/>
      <name val="Arial Nova Light"/>
      <family val="2"/>
    </font>
    <font>
      <b/>
      <i/>
      <sz val="9.5"/>
      <color rgb="FF0066FF"/>
      <name val="Arial Nova Light"/>
      <family val="2"/>
    </font>
    <font>
      <b/>
      <sz val="16"/>
      <color rgb="FF9BD16E"/>
      <name val="Arial Nova Light"/>
      <family val="2"/>
    </font>
    <font>
      <b/>
      <sz val="16"/>
      <color rgb="FFF8696B"/>
      <name val="Arial Nova Light"/>
      <family val="2"/>
    </font>
    <font>
      <b/>
      <sz val="14"/>
      <color rgb="FFFFFFFF"/>
      <name val="Arial Nova Light"/>
      <family val="2"/>
    </font>
    <font>
      <b/>
      <sz val="8.5"/>
      <color rgb="FFFFFFFF"/>
      <name val="Arial Nova Light"/>
      <family val="2"/>
    </font>
  </fonts>
  <fills count="20">
    <fill>
      <patternFill patternType="none"/>
    </fill>
    <fill>
      <patternFill patternType="gray125"/>
    </fill>
    <fill>
      <patternFill patternType="solid">
        <fgColor rgb="FF1F4E5F"/>
        <bgColor rgb="FF163B47"/>
      </patternFill>
    </fill>
    <fill>
      <patternFill patternType="solid">
        <fgColor rgb="FF2E7391"/>
        <bgColor rgb="FF3E8E9E"/>
      </patternFill>
    </fill>
    <fill>
      <patternFill patternType="solid">
        <fgColor rgb="FFD9E6E8"/>
        <bgColor rgb="FFD9D9D9"/>
      </patternFill>
    </fill>
    <fill>
      <patternFill patternType="solid">
        <fgColor rgb="FF63BE7B"/>
        <bgColor rgb="FF5B9AA0"/>
      </patternFill>
    </fill>
    <fill>
      <patternFill patternType="solid">
        <fgColor rgb="FF9BD16E"/>
        <bgColor rgb="FF9BBB59"/>
      </patternFill>
    </fill>
    <fill>
      <patternFill patternType="solid">
        <fgColor rgb="FFFFEB84"/>
        <bgColor rgb="FFFFF7DE"/>
      </patternFill>
    </fill>
    <fill>
      <patternFill patternType="solid">
        <fgColor rgb="FFF8A354"/>
        <bgColor rgb="FFFFCC00"/>
      </patternFill>
    </fill>
    <fill>
      <patternFill patternType="solid">
        <fgColor rgb="FFF8696B"/>
        <bgColor rgb="FFC0504D"/>
      </patternFill>
    </fill>
    <fill>
      <patternFill patternType="solid">
        <fgColor rgb="FFF4F4F1"/>
        <bgColor rgb="FFF9F9F9"/>
      </patternFill>
    </fill>
    <fill>
      <patternFill patternType="solid">
        <fgColor rgb="FFFFF7DE"/>
        <bgColor rgb="FFF4F4F1"/>
      </patternFill>
    </fill>
    <fill>
      <patternFill patternType="solid">
        <fgColor rgb="FFEAF2F4"/>
        <bgColor rgb="FFF4F4F1"/>
      </patternFill>
    </fill>
    <fill>
      <patternFill patternType="solid">
        <fgColor rgb="FF3E8E9E"/>
        <bgColor rgb="FF4F81BD"/>
      </patternFill>
    </fill>
    <fill>
      <patternFill patternType="solid">
        <fgColor rgb="FF5B9AA0"/>
        <bgColor rgb="FF3E8E9E"/>
      </patternFill>
    </fill>
    <fill>
      <patternFill patternType="solid">
        <fgColor rgb="FF7A6C4F"/>
        <bgColor rgb="FF8C6D1F"/>
      </patternFill>
    </fill>
    <fill>
      <patternFill patternType="solid">
        <fgColor rgb="FF8C6D1F"/>
        <bgColor rgb="FF8A5A00"/>
      </patternFill>
    </fill>
    <fill>
      <patternFill patternType="solid">
        <fgColor rgb="FFB08B2E"/>
        <bgColor rgb="FF8C6D1F"/>
      </patternFill>
    </fill>
    <fill>
      <patternFill patternType="solid">
        <fgColor rgb="FF6E7F80"/>
        <bgColor rgb="FF6B7280"/>
      </patternFill>
    </fill>
    <fill>
      <patternFill patternType="solid">
        <fgColor rgb="FF1E7B34"/>
        <bgColor rgb="FF008080"/>
      </patternFill>
    </fill>
  </fills>
  <borders count="2">
    <border>
      <left/>
      <right/>
      <top/>
      <bottom/>
      <diagonal/>
    </border>
    <border>
      <left style="thin">
        <color rgb="FFB7C4C6"/>
      </left>
      <right style="thin">
        <color rgb="FFB7C4C6"/>
      </right>
      <top style="thin">
        <color rgb="FFB7C4C6"/>
      </top>
      <bottom style="thin">
        <color rgb="FFB7C4C6"/>
      </bottom>
      <diagonal/>
    </border>
  </borders>
  <cellStyleXfs count="1">
    <xf numFmtId="0" fontId="0" fillId="0" borderId="0"/>
  </cellStyleXfs>
  <cellXfs count="135">
    <xf numFmtId="0" fontId="0" fillId="0" borderId="0" xfId="0"/>
    <xf numFmtId="0" fontId="5" fillId="2" borderId="1" xfId="0" applyFont="1" applyFill="1" applyBorder="1" applyAlignment="1">
      <alignment horizontal="center" vertical="center" wrapText="1"/>
    </xf>
    <xf numFmtId="0" fontId="0" fillId="5" borderId="1" xfId="0" applyFont="1" applyFill="1" applyBorder="1" applyAlignment="1">
      <alignment horizontal="center" vertical="center" wrapText="1"/>
    </xf>
    <xf numFmtId="0" fontId="0" fillId="6" borderId="1" xfId="0" applyFont="1" applyFill="1" applyBorder="1" applyAlignment="1">
      <alignment horizontal="center" vertical="center" wrapText="1"/>
    </xf>
    <xf numFmtId="0" fontId="0" fillId="7" borderId="1" xfId="0" applyFont="1" applyFill="1" applyBorder="1" applyAlignment="1">
      <alignment horizontal="center" vertical="center" wrapText="1"/>
    </xf>
    <xf numFmtId="0" fontId="0" fillId="8" borderId="1" xfId="0" applyFont="1" applyFill="1" applyBorder="1" applyAlignment="1">
      <alignment horizontal="center" vertical="center" wrapText="1"/>
    </xf>
    <xf numFmtId="0" fontId="0" fillId="9" borderId="1" xfId="0" applyFont="1" applyFill="1" applyBorder="1" applyAlignment="1">
      <alignment horizontal="center" vertical="center" wrapText="1"/>
    </xf>
    <xf numFmtId="0" fontId="4" fillId="0" borderId="0" xfId="0" applyFont="1"/>
    <xf numFmtId="0" fontId="8" fillId="11" borderId="1" xfId="0" applyFont="1" applyFill="1" applyBorder="1" applyProtection="1">
      <protection locked="0"/>
    </xf>
    <xf numFmtId="0" fontId="4" fillId="0" borderId="1" xfId="0" applyFont="1" applyBorder="1" applyAlignment="1">
      <alignment horizontal="center" vertical="center" wrapText="1"/>
    </xf>
    <xf numFmtId="1" fontId="8" fillId="11" borderId="1" xfId="0" applyNumberFormat="1" applyFont="1" applyFill="1" applyBorder="1" applyProtection="1">
      <protection locked="0"/>
    </xf>
    <xf numFmtId="0" fontId="0" fillId="0" borderId="1" xfId="0" applyFont="1" applyBorder="1" applyAlignment="1">
      <alignment horizontal="left" vertical="center" wrapText="1"/>
    </xf>
    <xf numFmtId="1" fontId="2" fillId="0" borderId="1" xfId="0" applyNumberFormat="1" applyFont="1" applyBorder="1" applyAlignment="1">
      <alignment horizontal="center" vertical="center" wrapText="1"/>
    </xf>
    <xf numFmtId="166" fontId="2" fillId="0" borderId="1" xfId="0" applyNumberFormat="1" applyFont="1" applyBorder="1" applyAlignment="1">
      <alignment horizontal="center" vertical="center" wrapText="1"/>
    </xf>
    <xf numFmtId="2" fontId="2" fillId="0" borderId="1" xfId="0" applyNumberFormat="1" applyFont="1" applyBorder="1" applyAlignment="1">
      <alignment horizontal="center" vertical="center" wrapText="1"/>
    </xf>
    <xf numFmtId="0" fontId="0" fillId="0" borderId="1" xfId="0" applyBorder="1"/>
    <xf numFmtId="0" fontId="0" fillId="0" borderId="1" xfId="0" applyFont="1" applyBorder="1" applyAlignment="1">
      <alignment horizontal="center" vertical="center" wrapText="1"/>
    </xf>
    <xf numFmtId="168" fontId="8" fillId="11" borderId="1" xfId="0" applyNumberFormat="1" applyFont="1" applyFill="1" applyBorder="1" applyProtection="1">
      <protection locked="0"/>
    </xf>
    <xf numFmtId="168" fontId="4" fillId="0" borderId="1" xfId="0" applyNumberFormat="1" applyFont="1" applyBorder="1" applyAlignment="1">
      <alignment horizontal="center" vertical="center" wrapText="1"/>
    </xf>
    <xf numFmtId="0" fontId="11" fillId="0" borderId="0" xfId="0" applyFont="1"/>
    <xf numFmtId="166" fontId="8" fillId="11" borderId="1" xfId="0" applyNumberFormat="1" applyFont="1" applyFill="1" applyBorder="1" applyProtection="1">
      <protection locked="0"/>
    </xf>
    <xf numFmtId="166" fontId="4" fillId="0" borderId="1" xfId="0" applyNumberFormat="1" applyFont="1" applyBorder="1" applyAlignment="1">
      <alignment horizontal="center" vertical="center" wrapText="1"/>
    </xf>
    <xf numFmtId="0" fontId="10" fillId="0" borderId="0" xfId="0" applyFont="1"/>
    <xf numFmtId="0" fontId="12" fillId="0" borderId="0" xfId="0" applyFont="1"/>
    <xf numFmtId="2" fontId="8" fillId="11" borderId="1" xfId="0" applyNumberFormat="1" applyFont="1" applyFill="1" applyBorder="1" applyProtection="1">
      <protection locked="0"/>
    </xf>
    <xf numFmtId="0" fontId="14" fillId="2" borderId="1" xfId="0" applyFont="1" applyFill="1" applyBorder="1" applyAlignment="1">
      <alignment horizontal="center" vertical="center" wrapText="1"/>
    </xf>
    <xf numFmtId="167" fontId="2" fillId="0" borderId="1" xfId="0" applyNumberFormat="1" applyFont="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164" fontId="2" fillId="0" borderId="1" xfId="0" applyNumberFormat="1" applyFont="1" applyBorder="1" applyAlignment="1">
      <alignment horizontal="center" vertical="center" wrapText="1"/>
    </xf>
    <xf numFmtId="0" fontId="17" fillId="0" borderId="0" xfId="0" applyFont="1"/>
    <xf numFmtId="0" fontId="17" fillId="0" borderId="0" xfId="0" applyFont="1" applyAlignment="1">
      <alignment horizontal="center"/>
    </xf>
    <xf numFmtId="0" fontId="24" fillId="2" borderId="1" xfId="0" applyFont="1" applyFill="1" applyBorder="1" applyAlignment="1">
      <alignment horizontal="center" vertical="center" wrapText="1"/>
    </xf>
    <xf numFmtId="0" fontId="17" fillId="0" borderId="1" xfId="0" applyFont="1" applyBorder="1" applyAlignment="1">
      <alignment horizontal="left" vertical="center" wrapText="1"/>
    </xf>
    <xf numFmtId="1" fontId="26" fillId="0" borderId="1" xfId="0" applyNumberFormat="1" applyFont="1" applyBorder="1" applyAlignment="1">
      <alignment horizontal="center" vertical="center" wrapText="1"/>
    </xf>
    <xf numFmtId="166" fontId="26" fillId="0" borderId="1" xfId="0" applyNumberFormat="1" applyFont="1" applyBorder="1" applyAlignment="1">
      <alignment horizontal="center" vertical="center" wrapText="1"/>
    </xf>
    <xf numFmtId="2" fontId="26" fillId="0" borderId="1" xfId="0" applyNumberFormat="1" applyFont="1" applyBorder="1" applyAlignment="1">
      <alignment horizontal="center" vertical="center" wrapText="1"/>
    </xf>
    <xf numFmtId="0" fontId="17" fillId="0" borderId="1" xfId="0" applyFont="1" applyBorder="1"/>
    <xf numFmtId="0" fontId="27" fillId="0" borderId="0" xfId="0" applyFont="1" applyAlignment="1">
      <alignment horizontal="center"/>
    </xf>
    <xf numFmtId="2" fontId="23" fillId="12" borderId="1" xfId="0" applyNumberFormat="1" applyFont="1" applyFill="1" applyBorder="1" applyAlignment="1">
      <alignment horizontal="center" vertical="center" wrapText="1"/>
    </xf>
    <xf numFmtId="0" fontId="17" fillId="12" borderId="1" xfId="0" applyFont="1" applyFill="1" applyBorder="1"/>
    <xf numFmtId="0" fontId="23" fillId="0" borderId="0" xfId="0" applyFont="1" applyAlignment="1">
      <alignment horizontal="center" vertical="center" wrapText="1"/>
    </xf>
    <xf numFmtId="0" fontId="23" fillId="0" borderId="0" xfId="0" applyFont="1"/>
    <xf numFmtId="0" fontId="26" fillId="0" borderId="0" xfId="0" applyFont="1"/>
    <xf numFmtId="0" fontId="17" fillId="0" borderId="0" xfId="0" applyFont="1" applyAlignment="1">
      <alignment horizontal="center" vertical="center"/>
    </xf>
    <xf numFmtId="0" fontId="17" fillId="0" borderId="0" xfId="0" applyFont="1" applyAlignment="1">
      <alignment vertical="center"/>
    </xf>
    <xf numFmtId="165" fontId="45" fillId="0" borderId="1" xfId="0" applyNumberFormat="1" applyFont="1" applyBorder="1" applyAlignment="1">
      <alignment horizontal="center" vertical="center" wrapText="1"/>
    </xf>
    <xf numFmtId="0" fontId="44" fillId="11" borderId="1" xfId="0" applyFont="1" applyFill="1" applyBorder="1" applyAlignment="1" applyProtection="1">
      <alignment horizontal="center" vertical="center" wrapText="1"/>
      <protection locked="0"/>
    </xf>
    <xf numFmtId="2" fontId="45" fillId="0" borderId="1" xfId="0" applyNumberFormat="1" applyFont="1" applyBorder="1" applyAlignment="1">
      <alignment horizontal="center" vertical="center" wrapText="1"/>
    </xf>
    <xf numFmtId="1" fontId="45" fillId="0" borderId="1" xfId="0" applyNumberFormat="1" applyFont="1" applyBorder="1" applyAlignment="1">
      <alignment horizontal="center" vertical="center" wrapText="1"/>
    </xf>
    <xf numFmtId="49" fontId="0" fillId="0" borderId="1" xfId="0" applyNumberFormat="1" applyFont="1" applyBorder="1" applyAlignment="1">
      <alignment horizontal="center" vertical="center" wrapText="1"/>
    </xf>
    <xf numFmtId="0" fontId="46" fillId="0" borderId="0" xfId="0" applyFont="1" applyBorder="1" applyAlignment="1">
      <alignment horizontal="center" wrapText="1"/>
    </xf>
    <xf numFmtId="0" fontId="50" fillId="2" borderId="1" xfId="0" applyFont="1" applyFill="1" applyBorder="1" applyAlignment="1">
      <alignment horizontal="center" vertical="center" wrapText="1"/>
    </xf>
    <xf numFmtId="14" fontId="20" fillId="11" borderId="1" xfId="0" applyNumberFormat="1" applyFont="1" applyFill="1" applyBorder="1" applyAlignment="1" applyProtection="1">
      <alignment horizontal="center" vertical="center"/>
      <protection locked="0"/>
    </xf>
    <xf numFmtId="0" fontId="20" fillId="11" borderId="1" xfId="0" applyFont="1" applyFill="1" applyBorder="1" applyAlignment="1" applyProtection="1">
      <alignment horizontal="center" vertical="center"/>
      <protection locked="0"/>
    </xf>
    <xf numFmtId="1" fontId="20" fillId="11" borderId="1" xfId="0" applyNumberFormat="1" applyFont="1" applyFill="1" applyBorder="1" applyAlignment="1" applyProtection="1">
      <alignment horizontal="center" vertical="center"/>
      <protection locked="0"/>
    </xf>
    <xf numFmtId="164" fontId="20" fillId="11" borderId="1" xfId="0" applyNumberFormat="1" applyFont="1" applyFill="1" applyBorder="1" applyAlignment="1" applyProtection="1">
      <alignment horizontal="center" vertical="center"/>
      <protection locked="0"/>
    </xf>
    <xf numFmtId="2" fontId="20" fillId="11" borderId="1" xfId="0" applyNumberFormat="1" applyFont="1" applyFill="1" applyBorder="1" applyAlignment="1" applyProtection="1">
      <alignment horizontal="center" vertical="center"/>
      <protection locked="0"/>
    </xf>
    <xf numFmtId="167" fontId="26" fillId="0" borderId="1" xfId="0" applyNumberFormat="1" applyFont="1" applyBorder="1" applyAlignment="1">
      <alignment horizontal="center" vertical="center" wrapText="1"/>
    </xf>
    <xf numFmtId="0" fontId="26" fillId="0" borderId="1" xfId="0" applyFont="1" applyBorder="1" applyAlignment="1">
      <alignment horizontal="center" vertical="center" wrapText="1"/>
    </xf>
    <xf numFmtId="169" fontId="26" fillId="0" borderId="1" xfId="0" applyNumberFormat="1" applyFont="1" applyBorder="1" applyAlignment="1">
      <alignment horizontal="center" vertical="center" wrapText="1"/>
    </xf>
    <xf numFmtId="0" fontId="39" fillId="2" borderId="0" xfId="0" applyFont="1" applyFill="1" applyBorder="1" applyAlignment="1">
      <alignment horizontal="center" vertical="center" wrapText="1"/>
    </xf>
    <xf numFmtId="0" fontId="34" fillId="3" borderId="0" xfId="0" applyFont="1" applyFill="1" applyBorder="1" applyAlignment="1">
      <alignment horizontal="center" vertical="center" wrapText="1"/>
    </xf>
    <xf numFmtId="0" fontId="18" fillId="4" borderId="1" xfId="0" applyFont="1" applyFill="1" applyBorder="1" applyAlignment="1">
      <alignment horizontal="left" vertical="center" wrapText="1"/>
    </xf>
    <xf numFmtId="0" fontId="26" fillId="0" borderId="0" xfId="0" applyFont="1" applyBorder="1" applyAlignment="1">
      <alignment horizontal="left" vertical="center" wrapText="1"/>
    </xf>
    <xf numFmtId="0" fontId="21" fillId="0" borderId="0" xfId="0" applyFont="1" applyBorder="1" applyAlignment="1">
      <alignment vertical="center"/>
    </xf>
    <xf numFmtId="0" fontId="40" fillId="0" borderId="0" xfId="0" applyFont="1" applyBorder="1" applyAlignment="1">
      <alignment vertical="center" wrapText="1"/>
    </xf>
    <xf numFmtId="0" fontId="40" fillId="0" borderId="0" xfId="0" applyFont="1" applyBorder="1"/>
    <xf numFmtId="0" fontId="17" fillId="0" borderId="1" xfId="0" applyFont="1" applyBorder="1"/>
    <xf numFmtId="0" fontId="17" fillId="5" borderId="1" xfId="0" applyFont="1" applyFill="1" applyBorder="1" applyAlignment="1">
      <alignment horizontal="center" vertical="center" wrapText="1"/>
    </xf>
    <xf numFmtId="0" fontId="17" fillId="6" borderId="1" xfId="0" applyFont="1" applyFill="1" applyBorder="1" applyAlignment="1">
      <alignment horizontal="center" vertical="center" wrapText="1"/>
    </xf>
    <xf numFmtId="0" fontId="17" fillId="7" borderId="1" xfId="0" applyFont="1" applyFill="1" applyBorder="1" applyAlignment="1">
      <alignment horizontal="center" vertical="center" wrapText="1"/>
    </xf>
    <xf numFmtId="0" fontId="17" fillId="8" borderId="1" xfId="0" applyFont="1" applyFill="1" applyBorder="1" applyAlignment="1">
      <alignment horizontal="center" vertical="center" wrapText="1"/>
    </xf>
    <xf numFmtId="0" fontId="17" fillId="9" borderId="1" xfId="0" applyFont="1" applyFill="1" applyBorder="1" applyAlignment="1">
      <alignment horizontal="center" vertical="center" wrapText="1"/>
    </xf>
    <xf numFmtId="0" fontId="23" fillId="0" borderId="1" xfId="0" applyFont="1" applyBorder="1"/>
    <xf numFmtId="0" fontId="40" fillId="0" borderId="1" xfId="0" applyFont="1" applyBorder="1"/>
    <xf numFmtId="0" fontId="41" fillId="0" borderId="0" xfId="0" applyFont="1" applyBorder="1" applyAlignment="1">
      <alignment horizontal="left" vertical="center" wrapText="1"/>
    </xf>
    <xf numFmtId="0" fontId="23" fillId="0" borderId="0" xfId="0" applyFont="1" applyBorder="1" applyAlignment="1">
      <alignment horizontal="left" vertical="center" wrapText="1"/>
    </xf>
    <xf numFmtId="0" fontId="43" fillId="10" borderId="0" xfId="0" applyFont="1" applyFill="1" applyBorder="1"/>
    <xf numFmtId="0" fontId="16" fillId="2" borderId="0" xfId="0" applyFont="1" applyFill="1" applyBorder="1" applyAlignment="1">
      <alignment horizontal="center" vertical="center" wrapText="1"/>
    </xf>
    <xf numFmtId="0" fontId="46" fillId="0" borderId="0" xfId="0" applyFont="1" applyBorder="1" applyAlignment="1">
      <alignment horizontal="center" wrapText="1"/>
    </xf>
    <xf numFmtId="0" fontId="19" fillId="0" borderId="0" xfId="0" applyFont="1" applyBorder="1" applyAlignment="1">
      <alignment horizontal="left" vertical="center" wrapText="1"/>
    </xf>
    <xf numFmtId="0" fontId="44" fillId="11" borderId="1" xfId="0" applyFont="1" applyFill="1" applyBorder="1" applyAlignment="1" applyProtection="1">
      <alignment horizontal="center" vertical="center" wrapText="1"/>
      <protection locked="0"/>
    </xf>
    <xf numFmtId="0" fontId="44" fillId="11" borderId="1" xfId="0" applyFont="1" applyFill="1" applyBorder="1" applyAlignment="1" applyProtection="1">
      <alignment horizontal="center" vertical="center"/>
      <protection locked="0"/>
    </xf>
    <xf numFmtId="164" fontId="44" fillId="11" borderId="1" xfId="0" applyNumberFormat="1" applyFont="1" applyFill="1" applyBorder="1" applyAlignment="1" applyProtection="1">
      <alignment horizontal="center" vertical="center"/>
      <protection locked="0"/>
    </xf>
    <xf numFmtId="0" fontId="19" fillId="0" borderId="0" xfId="0" applyFont="1" applyBorder="1"/>
    <xf numFmtId="1" fontId="21" fillId="0" borderId="1" xfId="0" applyNumberFormat="1" applyFont="1" applyBorder="1" applyAlignment="1">
      <alignment horizontal="center" vertical="center" wrapText="1"/>
    </xf>
    <xf numFmtId="0" fontId="22" fillId="0" borderId="0" xfId="0" applyFont="1" applyBorder="1"/>
    <xf numFmtId="0" fontId="23" fillId="0" borderId="1" xfId="0" applyFont="1" applyBorder="1" applyAlignment="1">
      <alignment horizontal="center" vertical="center" wrapText="1"/>
    </xf>
    <xf numFmtId="165" fontId="44" fillId="11" borderId="1" xfId="0" applyNumberFormat="1" applyFont="1" applyFill="1" applyBorder="1" applyAlignment="1" applyProtection="1">
      <alignment horizontal="center" vertical="center"/>
      <protection locked="0"/>
    </xf>
    <xf numFmtId="1" fontId="44" fillId="11" borderId="1" xfId="0" applyNumberFormat="1" applyFont="1" applyFill="1" applyBorder="1" applyAlignment="1" applyProtection="1">
      <alignment horizontal="center" vertical="center"/>
      <protection locked="0"/>
    </xf>
    <xf numFmtId="0" fontId="25" fillId="2" borderId="0" xfId="0" applyFont="1" applyFill="1" applyBorder="1" applyAlignment="1">
      <alignment horizontal="left" vertical="center" wrapText="1"/>
    </xf>
    <xf numFmtId="0" fontId="28" fillId="12" borderId="1" xfId="0" applyFont="1" applyFill="1" applyBorder="1"/>
    <xf numFmtId="0" fontId="25" fillId="3" borderId="0" xfId="0" applyFont="1" applyFill="1" applyBorder="1" applyAlignment="1">
      <alignment horizontal="left" vertical="center" wrapText="1"/>
    </xf>
    <xf numFmtId="0" fontId="25" fillId="13" borderId="0" xfId="0" applyFont="1" applyFill="1" applyBorder="1" applyAlignment="1">
      <alignment horizontal="left" vertical="center" wrapText="1"/>
    </xf>
    <xf numFmtId="0" fontId="25" fillId="14" borderId="0" xfId="0" applyFont="1" applyFill="1" applyBorder="1" applyAlignment="1">
      <alignment horizontal="left" vertical="center" wrapText="1"/>
    </xf>
    <xf numFmtId="0" fontId="25" fillId="15" borderId="0" xfId="0" applyFont="1" applyFill="1" applyBorder="1" applyAlignment="1">
      <alignment horizontal="left" vertical="center" wrapText="1"/>
    </xf>
    <xf numFmtId="0" fontId="25" fillId="16" borderId="0" xfId="0" applyFont="1" applyFill="1" applyBorder="1" applyAlignment="1">
      <alignment horizontal="left" vertical="center" wrapText="1"/>
    </xf>
    <xf numFmtId="0" fontId="25" fillId="17" borderId="0" xfId="0" applyFont="1" applyFill="1" applyBorder="1" applyAlignment="1">
      <alignment horizontal="left" vertical="center" wrapText="1"/>
    </xf>
    <xf numFmtId="0" fontId="25" fillId="18" borderId="0" xfId="0" applyFont="1" applyFill="1" applyBorder="1" applyAlignment="1">
      <alignment horizontal="left" vertical="center" wrapText="1"/>
    </xf>
    <xf numFmtId="0" fontId="29" fillId="0" borderId="0" xfId="0" applyFont="1" applyBorder="1"/>
    <xf numFmtId="2" fontId="30" fillId="0" borderId="1" xfId="0" applyNumberFormat="1" applyFont="1" applyBorder="1" applyAlignment="1">
      <alignment horizontal="center" vertical="center" wrapText="1"/>
    </xf>
    <xf numFmtId="167" fontId="30" fillId="0" borderId="1" xfId="0" applyNumberFormat="1" applyFont="1" applyBorder="1" applyAlignment="1">
      <alignment horizontal="center" vertical="center" wrapText="1"/>
    </xf>
    <xf numFmtId="0" fontId="31" fillId="0" borderId="1" xfId="0" applyFont="1" applyBorder="1" applyAlignment="1">
      <alignment horizontal="center" vertical="center" wrapText="1"/>
    </xf>
    <xf numFmtId="0" fontId="32" fillId="0" borderId="1" xfId="0" applyFont="1" applyBorder="1" applyAlignment="1">
      <alignment horizontal="center" vertical="center" wrapText="1"/>
    </xf>
    <xf numFmtId="0" fontId="33" fillId="0" borderId="0" xfId="0" applyFont="1" applyBorder="1"/>
    <xf numFmtId="0" fontId="33" fillId="0" borderId="1" xfId="0" applyFont="1" applyBorder="1" applyAlignment="1">
      <alignment horizontal="center" vertical="center" wrapText="1"/>
    </xf>
    <xf numFmtId="0" fontId="17" fillId="0" borderId="1" xfId="0" applyFont="1" applyBorder="1" applyAlignment="1">
      <alignment horizontal="left" vertical="center" wrapText="1"/>
    </xf>
    <xf numFmtId="0" fontId="34" fillId="2" borderId="1" xfId="0" applyFont="1" applyFill="1" applyBorder="1" applyAlignment="1">
      <alignment horizontal="left" vertical="center" wrapText="1"/>
    </xf>
    <xf numFmtId="0" fontId="35" fillId="0" borderId="0" xfId="0" applyFont="1" applyBorder="1"/>
    <xf numFmtId="0" fontId="35" fillId="0" borderId="1" xfId="0" applyFont="1" applyBorder="1" applyAlignment="1">
      <alignment horizontal="left" vertical="center" wrapText="1"/>
    </xf>
    <xf numFmtId="0" fontId="37" fillId="0" borderId="0" xfId="0" applyFont="1" applyBorder="1"/>
    <xf numFmtId="0" fontId="38" fillId="0" borderId="0" xfId="0" applyFont="1" applyBorder="1"/>
    <xf numFmtId="0" fontId="20" fillId="11" borderId="1" xfId="0" applyFont="1" applyFill="1" applyBorder="1" applyProtection="1">
      <protection locked="0"/>
    </xf>
    <xf numFmtId="0" fontId="36" fillId="0" borderId="0" xfId="0" applyFont="1" applyBorder="1"/>
    <xf numFmtId="0" fontId="34" fillId="19" borderId="1" xfId="0" applyFont="1" applyFill="1" applyBorder="1" applyAlignment="1">
      <alignment horizontal="center" vertical="center" wrapText="1"/>
    </xf>
    <xf numFmtId="0" fontId="34" fillId="3" borderId="1"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7" fillId="0" borderId="0" xfId="0" applyFont="1" applyBorder="1"/>
    <xf numFmtId="0" fontId="1" fillId="4" borderId="1" xfId="0" applyFont="1" applyFill="1" applyBorder="1" applyAlignment="1">
      <alignment horizontal="left" vertical="center" wrapText="1"/>
    </xf>
    <xf numFmtId="0" fontId="0" fillId="0" borderId="1" xfId="0" applyFont="1" applyBorder="1" applyAlignment="1">
      <alignment horizontal="left" vertical="center" wrapText="1"/>
    </xf>
    <xf numFmtId="0" fontId="4" fillId="0" borderId="0" xfId="0" applyFont="1" applyBorder="1"/>
    <xf numFmtId="0" fontId="49" fillId="2" borderId="0" xfId="0" applyFont="1" applyFill="1" applyBorder="1" applyAlignment="1">
      <alignment horizontal="center" vertical="center" wrapText="1"/>
    </xf>
    <xf numFmtId="0" fontId="13" fillId="2" borderId="0" xfId="0" applyFont="1" applyFill="1" applyBorder="1" applyAlignment="1">
      <alignment horizontal="center" vertical="center" wrapText="1"/>
    </xf>
    <xf numFmtId="0" fontId="10" fillId="0" borderId="0" xfId="0" applyFont="1" applyBorder="1"/>
    <xf numFmtId="0" fontId="9" fillId="0" borderId="1" xfId="0" applyFont="1" applyBorder="1" applyAlignment="1">
      <alignment horizontal="center" vertical="center" wrapText="1"/>
    </xf>
    <xf numFmtId="167" fontId="9" fillId="0" borderId="1" xfId="0" applyNumberFormat="1" applyFont="1" applyBorder="1" applyAlignment="1">
      <alignment horizontal="center" vertical="center" wrapText="1"/>
    </xf>
    <xf numFmtId="0" fontId="0" fillId="5" borderId="1" xfId="0" applyFont="1" applyFill="1" applyBorder="1"/>
    <xf numFmtId="0" fontId="0" fillId="6" borderId="1" xfId="0" applyFont="1" applyFill="1" applyBorder="1"/>
    <xf numFmtId="0" fontId="0" fillId="7" borderId="1" xfId="0" applyFont="1" applyFill="1" applyBorder="1"/>
    <xf numFmtId="0" fontId="0" fillId="8" borderId="1" xfId="0" applyFont="1" applyFill="1" applyBorder="1"/>
    <xf numFmtId="0" fontId="0" fillId="9" borderId="1" xfId="0" applyFont="1" applyFill="1" applyBorder="1"/>
    <xf numFmtId="0" fontId="0" fillId="0" borderId="1" xfId="0" applyFont="1" applyBorder="1"/>
    <xf numFmtId="0" fontId="15" fillId="0" borderId="1" xfId="0" applyFont="1" applyBorder="1" applyAlignment="1">
      <alignment horizontal="center" vertical="center" wrapText="1"/>
    </xf>
    <xf numFmtId="0" fontId="3" fillId="0" borderId="0" xfId="0" applyFont="1" applyBorder="1" applyAlignment="1">
      <alignment horizontal="left" vertical="center" wrapText="1"/>
    </xf>
  </cellXfs>
  <cellStyles count="1">
    <cellStyle name="Normal" xfId="0" builtinId="0"/>
  </cellStyles>
  <dxfs count="14">
    <dxf>
      <fill>
        <patternFill>
          <bgColor rgb="FFFFC7CE"/>
        </patternFill>
      </fill>
    </dxf>
    <dxf>
      <fill>
        <patternFill>
          <bgColor rgb="FFC6EFCE"/>
        </patternFill>
      </fill>
    </dxf>
    <dxf>
      <fill>
        <patternFill>
          <bgColor rgb="FF9BD16E"/>
        </patternFill>
      </fill>
    </dxf>
    <dxf>
      <fill>
        <patternFill>
          <bgColor rgb="FFFFEB84"/>
        </patternFill>
      </fill>
    </dxf>
    <dxf>
      <fill>
        <patternFill>
          <bgColor rgb="FFF8696B"/>
        </patternFill>
      </fill>
    </dxf>
    <dxf>
      <fill>
        <patternFill>
          <bgColor rgb="FFF8696B"/>
        </patternFill>
      </fill>
    </dxf>
    <dxf>
      <fill>
        <patternFill>
          <bgColor rgb="FFF8A354"/>
        </patternFill>
      </fill>
    </dxf>
    <dxf>
      <fill>
        <patternFill>
          <bgColor rgb="FFFFEB84"/>
        </patternFill>
      </fill>
    </dxf>
    <dxf>
      <fill>
        <patternFill>
          <bgColor rgb="FF9BD16E"/>
        </patternFill>
      </fill>
    </dxf>
    <dxf>
      <fill>
        <patternFill>
          <bgColor rgb="FF63BE7B"/>
        </patternFill>
      </fill>
    </dxf>
    <dxf>
      <fill>
        <patternFill>
          <bgColor rgb="FF92D050"/>
        </patternFill>
      </fill>
    </dxf>
    <dxf>
      <fill>
        <patternFill>
          <bgColor rgb="FFFFFF00"/>
        </patternFill>
      </fill>
    </dxf>
    <dxf>
      <fill>
        <patternFill>
          <bgColor rgb="FFFFC000"/>
        </patternFill>
      </fill>
    </dxf>
    <dxf>
      <fill>
        <patternFill>
          <bgColor rgb="FFFF7171"/>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1E7B34"/>
      <rgbColor rgb="FF000080"/>
      <rgbColor rgb="FF8C6D1F"/>
      <rgbColor rgb="FF800080"/>
      <rgbColor rgb="FF2E7391"/>
      <rgbColor rgb="FFB7C4C6"/>
      <rgbColor rgb="FF878787"/>
      <rgbColor rgb="FF5B9AA0"/>
      <rgbColor rgb="FFC0504D"/>
      <rgbColor rgb="FFFFF7DE"/>
      <rgbColor rgb="FFEAF2F4"/>
      <rgbColor rgb="FF660066"/>
      <rgbColor rgb="FFF8696B"/>
      <rgbColor rgb="FF0066CC"/>
      <rgbColor rgb="FFD9D9D9"/>
      <rgbColor rgb="FF000080"/>
      <rgbColor rgb="FFFF00FF"/>
      <rgbColor rgb="FFFFFF00"/>
      <rgbColor rgb="FF00FFFF"/>
      <rgbColor rgb="FF800080"/>
      <rgbColor rgb="FF800000"/>
      <rgbColor rgb="FF008080"/>
      <rgbColor rgb="FF0000FF"/>
      <rgbColor rgb="FF00CCFF"/>
      <rgbColor rgb="FFD9E6E8"/>
      <rgbColor rgb="FFC6EFCE"/>
      <rgbColor rgb="FFFFEB84"/>
      <rgbColor rgb="FF9BD16E"/>
      <rgbColor rgb="FFF4F4F1"/>
      <rgbColor rgb="FFF9F9F9"/>
      <rgbColor rgb="FFFFC7CE"/>
      <rgbColor rgb="FF4F81BD"/>
      <rgbColor rgb="FF63BE7B"/>
      <rgbColor rgb="FF9BBB59"/>
      <rgbColor rgb="FFFFCC00"/>
      <rgbColor rgb="FFF8A354"/>
      <rgbColor rgb="FFB08B2E"/>
      <rgbColor rgb="FF6B7280"/>
      <rgbColor rgb="FF6E7F80"/>
      <rgbColor rgb="FF163B47"/>
      <rgbColor rgb="FF3E8E9E"/>
      <rgbColor rgb="FF003300"/>
      <rgbColor rgb="FF333300"/>
      <rgbColor rgb="FFC0392B"/>
      <rgbColor rgb="FF8A5A00"/>
      <rgbColor rgb="FF7A6C4F"/>
      <rgbColor rgb="FF1F4E5F"/>
      <rgbColor rgb="00003366"/>
      <rgbColor rgb="00339966"/>
      <rgbColor rgb="00003300"/>
      <rgbColor rgb="00333300"/>
      <rgbColor rgb="00993300"/>
      <rgbColor rgb="00993366"/>
      <rgbColor rgb="00333399"/>
      <rgbColor rgb="00333333"/>
    </indexedColors>
    <mruColors>
      <color rgb="FFFF7171"/>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c:style val="2"/>
  <c:chart>
    <c:title>
      <c:tx>
        <c:rich>
          <a:bodyPr rot="0"/>
          <a:lstStyle/>
          <a:p>
            <a:pPr>
              <a:defRPr sz="1800" b="1" strike="noStrike" spc="-1">
                <a:solidFill>
                  <a:srgbClr val="000000"/>
                </a:solidFill>
                <a:latin typeface="Calibri"/>
              </a:defRPr>
            </a:pPr>
            <a:r>
              <a:rPr lang="es-EC" sz="1800" b="1" strike="noStrike" spc="-1">
                <a:solidFill>
                  <a:srgbClr val="000000"/>
                </a:solidFill>
                <a:latin typeface="Calibri"/>
              </a:rPr>
              <a:t>Distribución por nivel de vulnerabilidad</a:t>
            </a:r>
          </a:p>
        </c:rich>
      </c:tx>
      <c:overlay val="0"/>
      <c:spPr>
        <a:noFill/>
        <a:ln w="0">
          <a:noFill/>
        </a:ln>
      </c:spPr>
    </c:title>
    <c:autoTitleDeleted val="0"/>
    <c:plotArea>
      <c:layout/>
      <c:barChart>
        <c:barDir val="col"/>
        <c:grouping val="clustered"/>
        <c:varyColors val="0"/>
        <c:ser>
          <c:idx val="0"/>
          <c:order val="0"/>
          <c:tx>
            <c:strRef>
              <c:f>DASHBOARD!$D$8</c:f>
              <c:strCache>
                <c:ptCount val="1"/>
              </c:strCache>
            </c:strRef>
          </c:tx>
          <c:spPr>
            <a:solidFill>
              <a:srgbClr val="4F81BD"/>
            </a:solidFill>
            <a:ln w="9360">
              <a:solidFill>
                <a:srgbClr val="F9F9F9"/>
              </a:solidFill>
              <a:round/>
            </a:ln>
          </c:spPr>
          <c:invertIfNegative val="0"/>
          <c:dLbls>
            <c:spPr>
              <a:noFill/>
              <a:ln>
                <a:noFill/>
              </a:ln>
              <a:effectLst/>
            </c:spPr>
            <c:txPr>
              <a:bodyPr wrap="none"/>
              <a:lstStyle/>
              <a:p>
                <a:pPr>
                  <a:defRPr sz="1000" b="0" strike="noStrike" spc="-1">
                    <a:latin typeface="Arial"/>
                  </a:defRPr>
                </a:pPr>
                <a:endParaRPr lang="es-EC"/>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DASHBOARD!$A$9:$A$13</c:f>
              <c:strCache>
                <c:ptCount val="5"/>
                <c:pt idx="0">
                  <c:v>Vulnerabilidad muy baja</c:v>
                </c:pt>
                <c:pt idx="1">
                  <c:v>Vulnerabilidad baja</c:v>
                </c:pt>
                <c:pt idx="2">
                  <c:v>Vulnerabilidad moderada</c:v>
                </c:pt>
                <c:pt idx="3">
                  <c:v>Vulnerabilidad alta</c:v>
                </c:pt>
                <c:pt idx="4">
                  <c:v>Vulnerabilidad crítica</c:v>
                </c:pt>
              </c:strCache>
            </c:strRef>
          </c:cat>
          <c:val>
            <c:numRef>
              <c:f>DASHBOARD!$D$9:$D$13</c:f>
              <c:numCache>
                <c:formatCode>0</c:formatCode>
                <c:ptCount val="5"/>
                <c:pt idx="0">
                  <c:v>1</c:v>
                </c:pt>
                <c:pt idx="1">
                  <c:v>0</c:v>
                </c:pt>
                <c:pt idx="2">
                  <c:v>1</c:v>
                </c:pt>
                <c:pt idx="3">
                  <c:v>1</c:v>
                </c:pt>
                <c:pt idx="4">
                  <c:v>0</c:v>
                </c:pt>
              </c:numCache>
            </c:numRef>
          </c:val>
          <c:extLst>
            <c:ext xmlns:c16="http://schemas.microsoft.com/office/drawing/2014/chart" uri="{C3380CC4-5D6E-409C-BE32-E72D297353CC}">
              <c16:uniqueId val="{00000000-E4CD-43BC-848F-18DE2AC1DEE3}"/>
            </c:ext>
          </c:extLst>
        </c:ser>
        <c:dLbls>
          <c:showLegendKey val="0"/>
          <c:showVal val="0"/>
          <c:showCatName val="0"/>
          <c:showSerName val="0"/>
          <c:showPercent val="0"/>
          <c:showBubbleSize val="0"/>
        </c:dLbls>
        <c:gapWidth val="150"/>
        <c:axId val="30986338"/>
        <c:axId val="44945040"/>
      </c:barChart>
      <c:catAx>
        <c:axId val="30986338"/>
        <c:scaling>
          <c:orientation val="minMax"/>
        </c:scaling>
        <c:delete val="0"/>
        <c:axPos val="b"/>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s-EC"/>
          </a:p>
        </c:txPr>
        <c:crossAx val="44945040"/>
        <c:crosses val="autoZero"/>
        <c:auto val="1"/>
        <c:lblAlgn val="ctr"/>
        <c:lblOffset val="100"/>
        <c:noMultiLvlLbl val="0"/>
      </c:catAx>
      <c:valAx>
        <c:axId val="44945040"/>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es-EC" sz="1000" b="1" strike="noStrike" spc="-1">
                    <a:solidFill>
                      <a:srgbClr val="000000"/>
                    </a:solidFill>
                    <a:latin typeface="Calibri"/>
                  </a:rPr>
                  <a:t>N° de casos</a:t>
                </a:r>
              </a:p>
            </c:rich>
          </c:tx>
          <c:overlay val="0"/>
          <c:spPr>
            <a:noFill/>
            <a:ln w="0">
              <a:noFill/>
            </a:ln>
          </c:spPr>
        </c:title>
        <c:numFmt formatCode="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s-EC"/>
          </a:p>
        </c:txPr>
        <c:crossAx val="30986338"/>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c:style val="2"/>
  <c:chart>
    <c:title>
      <c:tx>
        <c:rich>
          <a:bodyPr rot="0"/>
          <a:lstStyle/>
          <a:p>
            <a:pPr>
              <a:defRPr sz="1800" b="1" strike="noStrike" spc="-1">
                <a:solidFill>
                  <a:srgbClr val="000000"/>
                </a:solidFill>
                <a:latin typeface="Calibri"/>
              </a:defRPr>
            </a:pPr>
            <a:r>
              <a:rPr lang="es-EC" sz="1800" b="1" strike="noStrike" spc="-1">
                <a:solidFill>
                  <a:srgbClr val="000000"/>
                </a:solidFill>
                <a:latin typeface="Calibri"/>
              </a:rPr>
              <a:t>Distribución por prioridad</a:t>
            </a:r>
          </a:p>
        </c:rich>
      </c:tx>
      <c:overlay val="0"/>
      <c:spPr>
        <a:noFill/>
        <a:ln w="0">
          <a:noFill/>
        </a:ln>
      </c:spPr>
    </c:title>
    <c:autoTitleDeleted val="0"/>
    <c:plotArea>
      <c:layout/>
      <c:pieChart>
        <c:varyColors val="1"/>
        <c:ser>
          <c:idx val="0"/>
          <c:order val="0"/>
          <c:tx>
            <c:strRef>
              <c:f>DASHBOARD!$D$16</c:f>
              <c:strCache>
                <c:ptCount val="1"/>
              </c:strCache>
            </c:strRef>
          </c:tx>
          <c:spPr>
            <a:solidFill>
              <a:srgbClr val="4F81BD"/>
            </a:solidFill>
            <a:ln w="0">
              <a:noFill/>
            </a:ln>
          </c:spPr>
          <c:dPt>
            <c:idx val="0"/>
            <c:bubble3D val="0"/>
            <c:extLst>
              <c:ext xmlns:c16="http://schemas.microsoft.com/office/drawing/2014/chart" uri="{C3380CC4-5D6E-409C-BE32-E72D297353CC}">
                <c16:uniqueId val="{00000001-27F4-4D45-A237-1400ED44E746}"/>
              </c:ext>
            </c:extLst>
          </c:dPt>
          <c:dPt>
            <c:idx val="1"/>
            <c:bubble3D val="0"/>
            <c:spPr>
              <a:solidFill>
                <a:srgbClr val="C0504D"/>
              </a:solidFill>
              <a:ln w="0">
                <a:noFill/>
              </a:ln>
            </c:spPr>
            <c:extLst>
              <c:ext xmlns:c16="http://schemas.microsoft.com/office/drawing/2014/chart" uri="{C3380CC4-5D6E-409C-BE32-E72D297353CC}">
                <c16:uniqueId val="{00000003-27F4-4D45-A237-1400ED44E746}"/>
              </c:ext>
            </c:extLst>
          </c:dPt>
          <c:dPt>
            <c:idx val="2"/>
            <c:bubble3D val="0"/>
            <c:spPr>
              <a:solidFill>
                <a:srgbClr val="9BBB59"/>
              </a:solidFill>
              <a:ln w="0">
                <a:noFill/>
              </a:ln>
            </c:spPr>
            <c:extLst>
              <c:ext xmlns:c16="http://schemas.microsoft.com/office/drawing/2014/chart" uri="{C3380CC4-5D6E-409C-BE32-E72D297353CC}">
                <c16:uniqueId val="{00000005-27F4-4D45-A237-1400ED44E746}"/>
              </c:ext>
            </c:extLst>
          </c:dPt>
          <c:dLbls>
            <c:dLbl>
              <c:idx val="0"/>
              <c:spPr/>
              <c:txPr>
                <a:bodyPr wrap="square"/>
                <a:lstStyle/>
                <a:p>
                  <a:pPr>
                    <a:defRPr sz="1000" b="0" strike="noStrike" spc="-1">
                      <a:solidFill>
                        <a:srgbClr val="000000"/>
                      </a:solidFill>
                      <a:latin typeface="Calibri"/>
                    </a:defRPr>
                  </a:pPr>
                  <a:endParaRPr lang="es-EC"/>
                </a:p>
              </c:txPr>
              <c:dLblPos val="bestFi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1-27F4-4D45-A237-1400ED44E746}"/>
                </c:ext>
              </c:extLst>
            </c:dLbl>
            <c:dLbl>
              <c:idx val="1"/>
              <c:spPr/>
              <c:txPr>
                <a:bodyPr wrap="square"/>
                <a:lstStyle/>
                <a:p>
                  <a:pPr>
                    <a:defRPr sz="1000" b="0" strike="noStrike" spc="-1">
                      <a:solidFill>
                        <a:srgbClr val="000000"/>
                      </a:solidFill>
                      <a:latin typeface="Calibri"/>
                    </a:defRPr>
                  </a:pPr>
                  <a:endParaRPr lang="es-EC"/>
                </a:p>
              </c:txPr>
              <c:dLblPos val="bestFi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3-27F4-4D45-A237-1400ED44E746}"/>
                </c:ext>
              </c:extLst>
            </c:dLbl>
            <c:dLbl>
              <c:idx val="2"/>
              <c:spPr/>
              <c:txPr>
                <a:bodyPr wrap="square"/>
                <a:lstStyle/>
                <a:p>
                  <a:pPr>
                    <a:defRPr sz="1000" b="0" strike="noStrike" spc="-1">
                      <a:solidFill>
                        <a:srgbClr val="000000"/>
                      </a:solidFill>
                      <a:latin typeface="Calibri"/>
                    </a:defRPr>
                  </a:pPr>
                  <a:endParaRPr lang="es-EC"/>
                </a:p>
              </c:txPr>
              <c:dLblPos val="bestFit"/>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5-27F4-4D45-A237-1400ED44E746}"/>
                </c:ext>
              </c:extLst>
            </c:dLbl>
            <c:spPr>
              <a:noFill/>
              <a:ln>
                <a:noFill/>
              </a:ln>
              <a:effectLst/>
            </c:spPr>
            <c:txPr>
              <a:bodyPr wrap="square"/>
              <a:lstStyle/>
              <a:p>
                <a:pPr>
                  <a:defRPr sz="1000" b="0" strike="noStrike" spc="-1">
                    <a:solidFill>
                      <a:srgbClr val="000000"/>
                    </a:solidFill>
                    <a:latin typeface="Calibri"/>
                  </a:defRPr>
                </a:pPr>
                <a:endParaRPr lang="es-EC"/>
              </a:p>
            </c:txPr>
            <c:dLblPos val="bestFit"/>
            <c:showLegendKey val="1"/>
            <c:showVal val="1"/>
            <c:showCatName val="1"/>
            <c:showSerName val="1"/>
            <c:showPercent val="1"/>
            <c:showBubbleSize val="1"/>
            <c:separator>; </c:separator>
            <c:showLeaderLines val="1"/>
            <c:extLst>
              <c:ext xmlns:c15="http://schemas.microsoft.com/office/drawing/2012/chart" uri="{CE6537A1-D6FC-4f65-9D91-7224C49458BB}"/>
            </c:extLst>
          </c:dLbls>
          <c:cat>
            <c:strRef>
              <c:f>DASHBOARD!$A$17:$A$19</c:f>
              <c:strCache>
                <c:ptCount val="3"/>
                <c:pt idx="0">
                  <c:v>PRIORIDAD 1</c:v>
                </c:pt>
                <c:pt idx="1">
                  <c:v>PRIORIDAD 2</c:v>
                </c:pt>
                <c:pt idx="2">
                  <c:v>PRIORIDAD 3</c:v>
                </c:pt>
              </c:strCache>
            </c:strRef>
          </c:cat>
          <c:val>
            <c:numRef>
              <c:f>DASHBOARD!$D$17:$D$19</c:f>
              <c:numCache>
                <c:formatCode>0</c:formatCode>
                <c:ptCount val="3"/>
                <c:pt idx="0">
                  <c:v>2</c:v>
                </c:pt>
                <c:pt idx="1">
                  <c:v>0</c:v>
                </c:pt>
                <c:pt idx="2">
                  <c:v>1</c:v>
                </c:pt>
              </c:numCache>
            </c:numRef>
          </c:val>
          <c:extLst>
            <c:ext xmlns:c16="http://schemas.microsoft.com/office/drawing/2014/chart" uri="{C3380CC4-5D6E-409C-BE32-E72D297353CC}">
              <c16:uniqueId val="{00000006-27F4-4D45-A237-1400ED44E746}"/>
            </c:ext>
          </c:extLst>
        </c:ser>
        <c:dLbls>
          <c:showLegendKey val="0"/>
          <c:showVal val="0"/>
          <c:showCatName val="0"/>
          <c:showSerName val="0"/>
          <c:showPercent val="0"/>
          <c:showBubbleSize val="0"/>
          <c:showLeaderLines val="1"/>
        </c:dLbls>
        <c:firstSliceAng val="0"/>
      </c:pieChart>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s-EC"/>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c:style val="2"/>
  <c:chart>
    <c:title>
      <c:tx>
        <c:rich>
          <a:bodyPr rot="0"/>
          <a:lstStyle/>
          <a:p>
            <a:pPr>
              <a:defRPr sz="1800" b="1" strike="noStrike" spc="-1">
                <a:solidFill>
                  <a:srgbClr val="000000"/>
                </a:solidFill>
                <a:latin typeface="Calibri"/>
              </a:defRPr>
            </a:pPr>
            <a:r>
              <a:rPr lang="es-EC" sz="1800" b="1" strike="noStrike" spc="-1">
                <a:solidFill>
                  <a:srgbClr val="000000"/>
                </a:solidFill>
                <a:latin typeface="Calibri"/>
              </a:rPr>
              <a:t>Postulantes por CMCI</a:t>
            </a:r>
          </a:p>
        </c:rich>
      </c:tx>
      <c:overlay val="0"/>
      <c:spPr>
        <a:noFill/>
        <a:ln w="0">
          <a:noFill/>
        </a:ln>
      </c:spPr>
    </c:title>
    <c:autoTitleDeleted val="0"/>
    <c:plotArea>
      <c:layout/>
      <c:barChart>
        <c:barDir val="bar"/>
        <c:grouping val="clustered"/>
        <c:varyColors val="0"/>
        <c:ser>
          <c:idx val="0"/>
          <c:order val="0"/>
          <c:tx>
            <c:strRef>
              <c:f>DASHBOARD!$D$24</c:f>
              <c:strCache>
                <c:ptCount val="1"/>
              </c:strCache>
            </c:strRef>
          </c:tx>
          <c:spPr>
            <a:solidFill>
              <a:srgbClr val="4F81BD"/>
            </a:solidFill>
            <a:ln w="0">
              <a:noFill/>
            </a:ln>
          </c:spPr>
          <c:invertIfNegative val="0"/>
          <c:dLbls>
            <c:spPr>
              <a:noFill/>
              <a:ln>
                <a:noFill/>
              </a:ln>
              <a:effectLst/>
            </c:spPr>
            <c:txPr>
              <a:bodyPr wrap="none"/>
              <a:lstStyle/>
              <a:p>
                <a:pPr>
                  <a:defRPr sz="1000" b="0" strike="noStrike" spc="-1">
                    <a:latin typeface="Arial"/>
                  </a:defRPr>
                </a:pPr>
                <a:endParaRPr lang="es-EC"/>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DASHBOARD!$A$25:$A$28</c:f>
              <c:strCache>
                <c:ptCount val="4"/>
                <c:pt idx="0">
                  <c:v>CMCI Guasmo</c:v>
                </c:pt>
                <c:pt idx="1">
                  <c:v>CMCI Bahía</c:v>
                </c:pt>
                <c:pt idx="2">
                  <c:v>CMCI Orquídeas</c:v>
                </c:pt>
                <c:pt idx="3">
                  <c:v>Otro Centro</c:v>
                </c:pt>
              </c:strCache>
            </c:strRef>
          </c:cat>
          <c:val>
            <c:numRef>
              <c:f>DASHBOARD!$D$25:$D$28</c:f>
              <c:numCache>
                <c:formatCode>0</c:formatCode>
                <c:ptCount val="4"/>
                <c:pt idx="0">
                  <c:v>0</c:v>
                </c:pt>
                <c:pt idx="1">
                  <c:v>0</c:v>
                </c:pt>
                <c:pt idx="2">
                  <c:v>3</c:v>
                </c:pt>
                <c:pt idx="3">
                  <c:v>0</c:v>
                </c:pt>
              </c:numCache>
            </c:numRef>
          </c:val>
          <c:extLst>
            <c:ext xmlns:c16="http://schemas.microsoft.com/office/drawing/2014/chart" uri="{C3380CC4-5D6E-409C-BE32-E72D297353CC}">
              <c16:uniqueId val="{00000000-29A1-4106-91C5-B37481F82568}"/>
            </c:ext>
          </c:extLst>
        </c:ser>
        <c:dLbls>
          <c:showLegendKey val="0"/>
          <c:showVal val="0"/>
          <c:showCatName val="0"/>
          <c:showSerName val="0"/>
          <c:showPercent val="0"/>
          <c:showBubbleSize val="0"/>
        </c:dLbls>
        <c:gapWidth val="150"/>
        <c:axId val="59625389"/>
        <c:axId val="33636424"/>
      </c:barChart>
      <c:catAx>
        <c:axId val="59625389"/>
        <c:scaling>
          <c:orientation val="minMax"/>
        </c:scaling>
        <c:delete val="0"/>
        <c:axPos val="l"/>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s-EC"/>
          </a:p>
        </c:txPr>
        <c:crossAx val="33636424"/>
        <c:crosses val="autoZero"/>
        <c:auto val="1"/>
        <c:lblAlgn val="ctr"/>
        <c:lblOffset val="100"/>
        <c:noMultiLvlLbl val="0"/>
      </c:catAx>
      <c:valAx>
        <c:axId val="33636424"/>
        <c:scaling>
          <c:orientation val="minMax"/>
        </c:scaling>
        <c:delete val="0"/>
        <c:axPos val="b"/>
        <c:majorGridlines>
          <c:spPr>
            <a:ln w="9360">
              <a:solidFill>
                <a:srgbClr val="878787"/>
              </a:solidFill>
              <a:round/>
            </a:ln>
          </c:spPr>
        </c:majorGridlines>
        <c:numFmt formatCode="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s-EC"/>
          </a:p>
        </c:txPr>
        <c:crossAx val="59625389"/>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205740</xdr:colOff>
          <xdr:row>112</xdr:row>
          <xdr:rowOff>60960</xdr:rowOff>
        </xdr:from>
        <xdr:to>
          <xdr:col>3</xdr:col>
          <xdr:colOff>350520</xdr:colOff>
          <xdr:row>113</xdr:row>
          <xdr:rowOff>251460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C" sz="1600" b="1" i="0" u="none" strike="noStrike" baseline="0">
                  <a:solidFill>
                    <a:srgbClr val="9BD16E"/>
                  </a:solidFill>
                  <a:latin typeface="Arial Nova Light"/>
                </a:rPr>
                <a:t>GUADAR FICHA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112</xdr:row>
          <xdr:rowOff>38100</xdr:rowOff>
        </xdr:from>
        <xdr:to>
          <xdr:col>8</xdr:col>
          <xdr:colOff>495300</xdr:colOff>
          <xdr:row>113</xdr:row>
          <xdr:rowOff>213360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C" sz="1600" b="1" i="0" u="none" strike="noStrike" baseline="0">
                  <a:solidFill>
                    <a:srgbClr val="F8696B"/>
                  </a:solidFill>
                  <a:latin typeface="Arial Nova Light"/>
                </a:rPr>
                <a:t>LIMPIAR FICHA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28</xdr:row>
      <xdr:rowOff>175680</xdr:rowOff>
    </xdr:from>
    <xdr:to>
      <xdr:col>5</xdr:col>
      <xdr:colOff>105840</xdr:colOff>
      <xdr:row>44</xdr:row>
      <xdr:rowOff>7560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373380</xdr:colOff>
      <xdr:row>29</xdr:row>
      <xdr:rowOff>8040</xdr:rowOff>
    </xdr:from>
    <xdr:to>
      <xdr:col>13</xdr:col>
      <xdr:colOff>472440</xdr:colOff>
      <xdr:row>45</xdr:row>
      <xdr:rowOff>99060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46</xdr:row>
      <xdr:rowOff>175680</xdr:rowOff>
    </xdr:from>
    <xdr:to>
      <xdr:col>5</xdr:col>
      <xdr:colOff>105840</xdr:colOff>
      <xdr:row>62</xdr:row>
      <xdr:rowOff>7560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F4E5F"/>
  </sheetPr>
  <dimension ref="A1:H143"/>
  <sheetViews>
    <sheetView showGridLines="0" zoomScaleNormal="100" workbookViewId="0">
      <pane ySplit="2" topLeftCell="A3" activePane="bottomLeft" state="frozen"/>
      <selection pane="bottomLeft" activeCell="A52" sqref="A52:H52"/>
    </sheetView>
  </sheetViews>
  <sheetFormatPr baseColWidth="10" defaultColWidth="8.6640625" defaultRowHeight="13.8" x14ac:dyDescent="0.25"/>
  <cols>
    <col min="1" max="2" width="16" style="30" customWidth="1"/>
    <col min="3" max="3" width="22" style="30" customWidth="1"/>
    <col min="4" max="4" width="14" style="30" customWidth="1"/>
    <col min="5" max="5" width="10" style="30" customWidth="1"/>
    <col min="6" max="6" width="16" style="30" customWidth="1"/>
    <col min="7" max="8" width="12" style="30" customWidth="1"/>
    <col min="9" max="16384" width="8.6640625" style="30"/>
  </cols>
  <sheetData>
    <row r="1" spans="1:8" ht="33.75" customHeight="1" x14ac:dyDescent="0.25">
      <c r="A1" s="61" t="s">
        <v>0</v>
      </c>
      <c r="B1" s="61"/>
      <c r="C1" s="61"/>
      <c r="D1" s="61"/>
      <c r="E1" s="61"/>
      <c r="F1" s="61"/>
      <c r="G1" s="61"/>
      <c r="H1" s="61"/>
    </row>
    <row r="2" spans="1:8" ht="21.75" customHeight="1" x14ac:dyDescent="0.25">
      <c r="A2" s="62" t="s">
        <v>1</v>
      </c>
      <c r="B2" s="62"/>
      <c r="C2" s="62"/>
      <c r="D2" s="62"/>
      <c r="E2" s="62"/>
      <c r="F2" s="62"/>
      <c r="G2" s="62"/>
      <c r="H2" s="62"/>
    </row>
    <row r="4" spans="1:8" ht="19.5" customHeight="1" x14ac:dyDescent="0.25">
      <c r="A4" s="63" t="s">
        <v>2</v>
      </c>
      <c r="B4" s="63"/>
      <c r="C4" s="63"/>
      <c r="D4" s="63"/>
      <c r="E4" s="63"/>
      <c r="F4" s="63"/>
      <c r="G4" s="63"/>
      <c r="H4" s="63"/>
    </row>
    <row r="5" spans="1:8" ht="82.2" customHeight="1" x14ac:dyDescent="0.25">
      <c r="A5" s="64" t="s">
        <v>3</v>
      </c>
      <c r="B5" s="64"/>
      <c r="C5" s="64"/>
      <c r="D5" s="64"/>
      <c r="E5" s="64"/>
      <c r="F5" s="64"/>
      <c r="G5" s="64"/>
      <c r="H5" s="64"/>
    </row>
    <row r="6" spans="1:8" ht="19.5" customHeight="1" x14ac:dyDescent="0.25">
      <c r="A6" s="63" t="s">
        <v>4</v>
      </c>
      <c r="B6" s="63"/>
      <c r="C6" s="63"/>
      <c r="D6" s="63"/>
      <c r="E6" s="63"/>
      <c r="F6" s="63"/>
      <c r="G6" s="63"/>
      <c r="H6" s="63"/>
    </row>
    <row r="7" spans="1:8" ht="33.75" customHeight="1" x14ac:dyDescent="0.25">
      <c r="A7" s="64" t="s">
        <v>5</v>
      </c>
      <c r="B7" s="64"/>
      <c r="C7" s="64"/>
      <c r="D7" s="64"/>
      <c r="E7" s="64"/>
      <c r="F7" s="64"/>
      <c r="G7" s="64"/>
      <c r="H7" s="64"/>
    </row>
    <row r="8" spans="1:8" ht="19.5" customHeight="1" x14ac:dyDescent="0.25">
      <c r="A8" s="63" t="s">
        <v>6</v>
      </c>
      <c r="B8" s="63"/>
      <c r="C8" s="63"/>
      <c r="D8" s="63"/>
      <c r="E8" s="63"/>
      <c r="F8" s="63"/>
      <c r="G8" s="63"/>
      <c r="H8" s="63"/>
    </row>
    <row r="9" spans="1:8" s="45" customFormat="1" x14ac:dyDescent="0.3">
      <c r="A9" s="65" t="s">
        <v>7</v>
      </c>
      <c r="B9" s="65"/>
      <c r="C9" s="66" t="s">
        <v>8</v>
      </c>
      <c r="D9" s="66"/>
      <c r="E9" s="66"/>
      <c r="F9" s="66"/>
      <c r="G9" s="66"/>
      <c r="H9" s="66"/>
    </row>
    <row r="10" spans="1:8" s="45" customFormat="1" ht="24.6" customHeight="1" x14ac:dyDescent="0.3">
      <c r="A10" s="65" t="s">
        <v>9</v>
      </c>
      <c r="B10" s="65"/>
      <c r="C10" s="66" t="s">
        <v>10</v>
      </c>
      <c r="D10" s="66"/>
      <c r="E10" s="66"/>
      <c r="F10" s="66"/>
      <c r="G10" s="66"/>
      <c r="H10" s="66"/>
    </row>
    <row r="11" spans="1:8" s="45" customFormat="1" ht="38.4" customHeight="1" x14ac:dyDescent="0.3">
      <c r="A11" s="65" t="s">
        <v>11</v>
      </c>
      <c r="B11" s="65"/>
      <c r="C11" s="66" t="s">
        <v>12</v>
      </c>
      <c r="D11" s="66"/>
      <c r="E11" s="66"/>
      <c r="F11" s="66"/>
      <c r="G11" s="66"/>
      <c r="H11" s="66"/>
    </row>
    <row r="12" spans="1:8" s="45" customFormat="1" ht="30" customHeight="1" x14ac:dyDescent="0.3">
      <c r="A12" s="65" t="s">
        <v>13</v>
      </c>
      <c r="B12" s="65"/>
      <c r="C12" s="66" t="s">
        <v>14</v>
      </c>
      <c r="D12" s="66"/>
      <c r="E12" s="66"/>
      <c r="F12" s="66"/>
      <c r="G12" s="66"/>
      <c r="H12" s="66"/>
    </row>
    <row r="13" spans="1:8" s="45" customFormat="1" ht="29.4" customHeight="1" x14ac:dyDescent="0.3">
      <c r="A13" s="65" t="s">
        <v>15</v>
      </c>
      <c r="B13" s="65"/>
      <c r="C13" s="66" t="s">
        <v>16</v>
      </c>
      <c r="D13" s="66"/>
      <c r="E13" s="66"/>
      <c r="F13" s="66"/>
      <c r="G13" s="66"/>
      <c r="H13" s="66"/>
    </row>
    <row r="14" spans="1:8" s="45" customFormat="1" ht="28.2" customHeight="1" x14ac:dyDescent="0.3">
      <c r="A14" s="65" t="s">
        <v>17</v>
      </c>
      <c r="B14" s="65"/>
      <c r="C14" s="66" t="s">
        <v>18</v>
      </c>
      <c r="D14" s="66"/>
      <c r="E14" s="66"/>
      <c r="F14" s="66"/>
      <c r="G14" s="66"/>
      <c r="H14" s="66"/>
    </row>
    <row r="15" spans="1:8" s="45" customFormat="1" ht="30" customHeight="1" x14ac:dyDescent="0.3">
      <c r="A15" s="65" t="s">
        <v>19</v>
      </c>
      <c r="B15" s="65"/>
      <c r="C15" s="66" t="s">
        <v>20</v>
      </c>
      <c r="D15" s="66"/>
      <c r="E15" s="66"/>
      <c r="F15" s="66"/>
      <c r="G15" s="66"/>
      <c r="H15" s="66"/>
    </row>
    <row r="16" spans="1:8" ht="19.5" customHeight="1" x14ac:dyDescent="0.25">
      <c r="A16" s="63" t="s">
        <v>21</v>
      </c>
      <c r="B16" s="63"/>
      <c r="C16" s="63"/>
      <c r="D16" s="63"/>
      <c r="E16" s="63"/>
      <c r="F16" s="63"/>
      <c r="G16" s="63"/>
      <c r="H16" s="63"/>
    </row>
    <row r="17" spans="1:8" ht="124.8" customHeight="1" x14ac:dyDescent="0.25">
      <c r="A17" s="64" t="s">
        <v>583</v>
      </c>
      <c r="B17" s="64"/>
      <c r="C17" s="64"/>
      <c r="D17" s="64"/>
      <c r="E17" s="64"/>
      <c r="F17" s="64"/>
      <c r="G17" s="64"/>
      <c r="H17" s="64"/>
    </row>
    <row r="18" spans="1:8" ht="31.2" customHeight="1" x14ac:dyDescent="0.25">
      <c r="A18" s="64" t="s">
        <v>22</v>
      </c>
      <c r="B18" s="64"/>
      <c r="C18" s="64"/>
      <c r="D18" s="64"/>
      <c r="E18" s="64"/>
      <c r="F18" s="64"/>
      <c r="G18" s="64"/>
      <c r="H18" s="64"/>
    </row>
    <row r="19" spans="1:8" ht="49.8" customHeight="1" x14ac:dyDescent="0.25">
      <c r="A19" s="64" t="s">
        <v>23</v>
      </c>
      <c r="B19" s="64"/>
      <c r="C19" s="64"/>
      <c r="D19" s="64"/>
      <c r="E19" s="64"/>
      <c r="F19" s="64"/>
      <c r="G19" s="64"/>
      <c r="H19" s="64"/>
    </row>
    <row r="20" spans="1:8" ht="33" customHeight="1" x14ac:dyDescent="0.25">
      <c r="A20" s="64" t="s">
        <v>24</v>
      </c>
      <c r="B20" s="64"/>
      <c r="C20" s="64"/>
      <c r="D20" s="64"/>
      <c r="E20" s="64"/>
      <c r="F20" s="64"/>
      <c r="G20" s="64"/>
      <c r="H20" s="64"/>
    </row>
    <row r="21" spans="1:8" ht="36" customHeight="1" x14ac:dyDescent="0.25">
      <c r="A21" s="64" t="s">
        <v>25</v>
      </c>
      <c r="B21" s="64"/>
      <c r="C21" s="64"/>
      <c r="D21" s="64"/>
      <c r="E21" s="64"/>
      <c r="F21" s="64"/>
      <c r="G21" s="64"/>
      <c r="H21" s="64"/>
    </row>
    <row r="22" spans="1:8" ht="19.5" customHeight="1" x14ac:dyDescent="0.25">
      <c r="A22" s="63" t="s">
        <v>26</v>
      </c>
      <c r="B22" s="63"/>
      <c r="C22" s="63"/>
      <c r="D22" s="63"/>
      <c r="E22" s="63"/>
      <c r="F22" s="63"/>
      <c r="G22" s="63"/>
      <c r="H22" s="63"/>
    </row>
    <row r="23" spans="1:8" ht="29.4" customHeight="1" x14ac:dyDescent="0.25">
      <c r="A23" s="64" t="s">
        <v>27</v>
      </c>
      <c r="B23" s="64"/>
      <c r="C23" s="64"/>
      <c r="D23" s="64"/>
      <c r="E23" s="64"/>
      <c r="F23" s="64"/>
      <c r="G23" s="64"/>
      <c r="H23" s="64"/>
    </row>
    <row r="24" spans="1:8" x14ac:dyDescent="0.25">
      <c r="A24" s="41" t="s">
        <v>28</v>
      </c>
      <c r="B24" s="67" t="s">
        <v>29</v>
      </c>
      <c r="C24" s="67"/>
      <c r="D24" s="67"/>
      <c r="E24" s="67"/>
      <c r="F24" s="67"/>
      <c r="G24" s="67"/>
      <c r="H24" s="67"/>
    </row>
    <row r="25" spans="1:8" x14ac:dyDescent="0.25">
      <c r="A25" s="41" t="s">
        <v>30</v>
      </c>
      <c r="B25" s="67" t="s">
        <v>31</v>
      </c>
      <c r="C25" s="67"/>
      <c r="D25" s="67"/>
      <c r="E25" s="67"/>
      <c r="F25" s="67"/>
      <c r="G25" s="67"/>
      <c r="H25" s="67"/>
    </row>
    <row r="26" spans="1:8" x14ac:dyDescent="0.25">
      <c r="A26" s="41" t="s">
        <v>32</v>
      </c>
      <c r="B26" s="67" t="s">
        <v>33</v>
      </c>
      <c r="C26" s="67"/>
      <c r="D26" s="67"/>
      <c r="E26" s="67"/>
      <c r="F26" s="67"/>
      <c r="G26" s="67"/>
      <c r="H26" s="67"/>
    </row>
    <row r="27" spans="1:8" x14ac:dyDescent="0.25">
      <c r="A27" s="41" t="s">
        <v>34</v>
      </c>
      <c r="B27" s="67" t="s">
        <v>35</v>
      </c>
      <c r="C27" s="67"/>
      <c r="D27" s="67"/>
      <c r="E27" s="67"/>
      <c r="F27" s="67"/>
      <c r="G27" s="67"/>
      <c r="H27" s="67"/>
    </row>
    <row r="28" spans="1:8" x14ac:dyDescent="0.25">
      <c r="A28" s="41" t="s">
        <v>36</v>
      </c>
      <c r="B28" s="67" t="s">
        <v>37</v>
      </c>
      <c r="C28" s="67"/>
      <c r="D28" s="67"/>
      <c r="E28" s="67"/>
      <c r="F28" s="67"/>
      <c r="G28" s="67"/>
      <c r="H28" s="67"/>
    </row>
    <row r="29" spans="1:8" ht="48" customHeight="1" x14ac:dyDescent="0.25">
      <c r="A29" s="64" t="s">
        <v>38</v>
      </c>
      <c r="B29" s="64"/>
      <c r="C29" s="64"/>
      <c r="D29" s="64"/>
      <c r="E29" s="64"/>
      <c r="F29" s="64"/>
      <c r="G29" s="64"/>
      <c r="H29" s="64"/>
    </row>
    <row r="31" spans="1:8" ht="19.5" customHeight="1" x14ac:dyDescent="0.25">
      <c r="A31" s="63" t="s">
        <v>39</v>
      </c>
      <c r="B31" s="63"/>
      <c r="C31" s="63"/>
      <c r="D31" s="63"/>
      <c r="E31" s="63"/>
      <c r="F31" s="63"/>
      <c r="G31" s="63"/>
      <c r="H31" s="63"/>
    </row>
    <row r="32" spans="1:8" ht="27.75" customHeight="1" x14ac:dyDescent="0.25">
      <c r="A32" s="32" t="s">
        <v>40</v>
      </c>
      <c r="B32" s="32" t="s">
        <v>41</v>
      </c>
      <c r="C32" s="32" t="s">
        <v>42</v>
      </c>
      <c r="D32" s="32"/>
      <c r="E32" s="32"/>
      <c r="F32" s="32"/>
      <c r="G32" s="32"/>
      <c r="H32" s="32"/>
    </row>
    <row r="33" spans="1:8" ht="15" customHeight="1" x14ac:dyDescent="0.25">
      <c r="A33" s="68" t="s">
        <v>43</v>
      </c>
      <c r="B33" s="68"/>
      <c r="C33" s="68"/>
      <c r="D33" s="68" t="s">
        <v>44</v>
      </c>
      <c r="E33" s="68"/>
      <c r="F33" s="69" t="s">
        <v>45</v>
      </c>
      <c r="G33" s="69"/>
      <c r="H33" s="69"/>
    </row>
    <row r="34" spans="1:8" ht="15" customHeight="1" x14ac:dyDescent="0.25">
      <c r="A34" s="68" t="s">
        <v>31</v>
      </c>
      <c r="B34" s="68"/>
      <c r="C34" s="68"/>
      <c r="D34" s="68" t="s">
        <v>46</v>
      </c>
      <c r="E34" s="68"/>
      <c r="F34" s="70" t="s">
        <v>45</v>
      </c>
      <c r="G34" s="70"/>
      <c r="H34" s="70"/>
    </row>
    <row r="35" spans="1:8" ht="15" customHeight="1" x14ac:dyDescent="0.25">
      <c r="A35" s="68" t="s">
        <v>33</v>
      </c>
      <c r="B35" s="68"/>
      <c r="C35" s="68"/>
      <c r="D35" s="68" t="s">
        <v>47</v>
      </c>
      <c r="E35" s="68"/>
      <c r="F35" s="71" t="s">
        <v>48</v>
      </c>
      <c r="G35" s="71"/>
      <c r="H35" s="71"/>
    </row>
    <row r="36" spans="1:8" ht="15" customHeight="1" x14ac:dyDescent="0.25">
      <c r="A36" s="68" t="s">
        <v>35</v>
      </c>
      <c r="B36" s="68"/>
      <c r="C36" s="68"/>
      <c r="D36" s="68" t="s">
        <v>49</v>
      </c>
      <c r="E36" s="68"/>
      <c r="F36" s="72" t="s">
        <v>50</v>
      </c>
      <c r="G36" s="72"/>
      <c r="H36" s="72"/>
    </row>
    <row r="37" spans="1:8" ht="15" customHeight="1" x14ac:dyDescent="0.25">
      <c r="A37" s="68" t="s">
        <v>37</v>
      </c>
      <c r="B37" s="68"/>
      <c r="C37" s="68"/>
      <c r="D37" s="68" t="s">
        <v>51</v>
      </c>
      <c r="E37" s="68"/>
      <c r="F37" s="73" t="s">
        <v>52</v>
      </c>
      <c r="G37" s="73"/>
      <c r="H37" s="73"/>
    </row>
    <row r="39" spans="1:8" ht="27.75" customHeight="1" x14ac:dyDescent="0.25">
      <c r="A39" s="32" t="s">
        <v>53</v>
      </c>
      <c r="B39" s="32" t="s">
        <v>54</v>
      </c>
      <c r="C39" s="32"/>
      <c r="D39" s="32"/>
      <c r="E39" s="32"/>
      <c r="F39" s="32"/>
      <c r="G39" s="32"/>
      <c r="H39" s="32"/>
    </row>
    <row r="40" spans="1:8" x14ac:dyDescent="0.25">
      <c r="A40" s="74" t="s">
        <v>55</v>
      </c>
      <c r="B40" s="74"/>
      <c r="C40" s="75" t="s">
        <v>56</v>
      </c>
      <c r="D40" s="75"/>
      <c r="E40" s="75"/>
      <c r="F40" s="75"/>
      <c r="G40" s="75"/>
      <c r="H40" s="75"/>
    </row>
    <row r="41" spans="1:8" x14ac:dyDescent="0.25">
      <c r="A41" s="74" t="s">
        <v>57</v>
      </c>
      <c r="B41" s="74"/>
      <c r="C41" s="75" t="s">
        <v>58</v>
      </c>
      <c r="D41" s="75"/>
      <c r="E41" s="75"/>
      <c r="F41" s="75"/>
      <c r="G41" s="75"/>
      <c r="H41" s="75"/>
    </row>
    <row r="42" spans="1:8" x14ac:dyDescent="0.25">
      <c r="A42" s="74" t="s">
        <v>59</v>
      </c>
      <c r="B42" s="74"/>
      <c r="C42" s="75" t="s">
        <v>60</v>
      </c>
      <c r="D42" s="75"/>
      <c r="E42" s="75"/>
      <c r="F42" s="75"/>
      <c r="G42" s="75"/>
      <c r="H42" s="75"/>
    </row>
    <row r="43" spans="1:8" ht="31.5" customHeight="1" x14ac:dyDescent="0.25">
      <c r="A43" s="76" t="s">
        <v>61</v>
      </c>
      <c r="B43" s="76"/>
      <c r="C43" s="76"/>
      <c r="D43" s="76"/>
      <c r="E43" s="76"/>
      <c r="F43" s="76"/>
      <c r="G43" s="76"/>
      <c r="H43" s="76"/>
    </row>
    <row r="45" spans="1:8" ht="19.5" customHeight="1" x14ac:dyDescent="0.25">
      <c r="A45" s="63" t="s">
        <v>62</v>
      </c>
      <c r="B45" s="63"/>
      <c r="C45" s="63"/>
      <c r="D45" s="63"/>
      <c r="E45" s="63"/>
      <c r="F45" s="63"/>
      <c r="G45" s="63"/>
      <c r="H45" s="63"/>
    </row>
    <row r="46" spans="1:8" ht="55.5" customHeight="1" x14ac:dyDescent="0.25">
      <c r="A46" s="64" t="s">
        <v>63</v>
      </c>
      <c r="B46" s="64"/>
      <c r="C46" s="64"/>
      <c r="D46" s="64"/>
      <c r="E46" s="64"/>
      <c r="F46" s="64"/>
      <c r="G46" s="64"/>
      <c r="H46" s="64"/>
    </row>
    <row r="48" spans="1:8" ht="19.5" customHeight="1" x14ac:dyDescent="0.25">
      <c r="A48" s="63" t="s">
        <v>64</v>
      </c>
      <c r="B48" s="63"/>
      <c r="C48" s="63"/>
      <c r="D48" s="63"/>
      <c r="E48" s="63"/>
      <c r="F48" s="63"/>
      <c r="G48" s="63"/>
      <c r="H48" s="63"/>
    </row>
    <row r="49" spans="1:8" ht="97.2" customHeight="1" x14ac:dyDescent="0.25">
      <c r="A49" s="77" t="s">
        <v>65</v>
      </c>
      <c r="B49" s="77"/>
      <c r="C49" s="77"/>
      <c r="D49" s="77"/>
      <c r="E49" s="77"/>
      <c r="F49" s="77"/>
      <c r="G49" s="77"/>
      <c r="H49" s="77"/>
    </row>
    <row r="51" spans="1:8" ht="19.5" customHeight="1" x14ac:dyDescent="0.25">
      <c r="A51" s="63" t="s">
        <v>66</v>
      </c>
      <c r="B51" s="63"/>
      <c r="C51" s="63"/>
      <c r="D51" s="63"/>
      <c r="E51" s="63"/>
      <c r="F51" s="63"/>
      <c r="G51" s="63"/>
      <c r="H51" s="63"/>
    </row>
    <row r="52" spans="1:8" ht="52.8" customHeight="1" x14ac:dyDescent="0.25">
      <c r="A52" s="64" t="s">
        <v>582</v>
      </c>
      <c r="B52" s="64"/>
      <c r="C52" s="64"/>
      <c r="D52" s="64"/>
      <c r="E52" s="64"/>
      <c r="F52" s="64"/>
      <c r="G52" s="64"/>
      <c r="H52" s="64"/>
    </row>
    <row r="54" spans="1:8" ht="19.5" hidden="1" customHeight="1" x14ac:dyDescent="0.25">
      <c r="A54" s="63" t="s">
        <v>67</v>
      </c>
      <c r="B54" s="63"/>
      <c r="C54" s="63"/>
      <c r="D54" s="63"/>
      <c r="E54" s="63"/>
      <c r="F54" s="63"/>
      <c r="G54" s="63"/>
      <c r="H54" s="63"/>
    </row>
    <row r="55" spans="1:8" ht="58.2" hidden="1" customHeight="1" x14ac:dyDescent="0.25">
      <c r="A55" s="64" t="s">
        <v>68</v>
      </c>
      <c r="B55" s="64"/>
      <c r="C55" s="64"/>
      <c r="D55" s="64"/>
      <c r="E55" s="64"/>
      <c r="F55" s="64"/>
      <c r="G55" s="64"/>
      <c r="H55" s="64"/>
    </row>
    <row r="56" spans="1:8" ht="39.75" hidden="1" customHeight="1" x14ac:dyDescent="0.25">
      <c r="A56" s="64" t="s">
        <v>69</v>
      </c>
      <c r="B56" s="64"/>
      <c r="C56" s="64"/>
      <c r="D56" s="64"/>
      <c r="E56" s="64"/>
      <c r="F56" s="64"/>
      <c r="G56" s="64"/>
      <c r="H56" s="64"/>
    </row>
    <row r="57" spans="1:8" ht="39.75" hidden="1" customHeight="1" x14ac:dyDescent="0.25">
      <c r="A57" s="64" t="s">
        <v>70</v>
      </c>
      <c r="B57" s="64"/>
      <c r="C57" s="64"/>
      <c r="D57" s="64"/>
      <c r="E57" s="64"/>
      <c r="F57" s="64"/>
      <c r="G57" s="64"/>
      <c r="H57" s="64"/>
    </row>
    <row r="58" spans="1:8" ht="39.75" hidden="1" customHeight="1" x14ac:dyDescent="0.25">
      <c r="A58" s="64" t="s">
        <v>71</v>
      </c>
      <c r="B58" s="64"/>
      <c r="C58" s="64"/>
      <c r="D58" s="64"/>
      <c r="E58" s="64"/>
      <c r="F58" s="64"/>
      <c r="G58" s="64"/>
      <c r="H58" s="64"/>
    </row>
    <row r="59" spans="1:8" ht="39.75" hidden="1" customHeight="1" x14ac:dyDescent="0.25">
      <c r="A59" s="64" t="s">
        <v>72</v>
      </c>
      <c r="B59" s="64"/>
      <c r="C59" s="64"/>
      <c r="D59" s="64"/>
      <c r="E59" s="64"/>
      <c r="F59" s="64"/>
      <c r="G59" s="64"/>
      <c r="H59" s="64"/>
    </row>
    <row r="60" spans="1:8" ht="39.75" hidden="1" customHeight="1" x14ac:dyDescent="0.25">
      <c r="A60" s="64" t="s">
        <v>73</v>
      </c>
      <c r="B60" s="64"/>
      <c r="C60" s="64"/>
      <c r="D60" s="64"/>
      <c r="E60" s="64"/>
      <c r="F60" s="64"/>
      <c r="G60" s="64"/>
      <c r="H60" s="64"/>
    </row>
    <row r="61" spans="1:8" ht="39.75" hidden="1" customHeight="1" x14ac:dyDescent="0.25">
      <c r="A61" s="64" t="s">
        <v>74</v>
      </c>
      <c r="B61" s="64"/>
      <c r="C61" s="64"/>
      <c r="D61" s="64"/>
      <c r="E61" s="64"/>
      <c r="F61" s="64"/>
      <c r="G61" s="64"/>
      <c r="H61" s="64"/>
    </row>
    <row r="62" spans="1:8" ht="60" hidden="1" customHeight="1" x14ac:dyDescent="0.25">
      <c r="A62" s="64" t="s">
        <v>75</v>
      </c>
      <c r="B62" s="64"/>
      <c r="C62" s="64"/>
      <c r="D62" s="64"/>
      <c r="E62" s="64"/>
      <c r="F62" s="64"/>
      <c r="G62" s="64"/>
      <c r="H62" s="64"/>
    </row>
    <row r="63" spans="1:8" hidden="1" x14ac:dyDescent="0.25"/>
    <row r="64" spans="1:8" ht="19.5" hidden="1" customHeight="1" x14ac:dyDescent="0.25">
      <c r="A64" s="63" t="s">
        <v>76</v>
      </c>
      <c r="B64" s="63"/>
      <c r="C64" s="63"/>
      <c r="D64" s="63"/>
      <c r="E64" s="63"/>
      <c r="F64" s="63"/>
      <c r="G64" s="63"/>
      <c r="H64" s="63"/>
    </row>
    <row r="65" spans="1:8" hidden="1" x14ac:dyDescent="0.25">
      <c r="A65" s="78" t="s">
        <v>77</v>
      </c>
      <c r="B65" s="78"/>
      <c r="C65" s="78"/>
      <c r="D65" s="78"/>
      <c r="E65" s="78"/>
      <c r="F65" s="78"/>
      <c r="G65" s="78"/>
      <c r="H65" s="78"/>
    </row>
    <row r="66" spans="1:8" hidden="1" x14ac:dyDescent="0.25">
      <c r="A66" s="78"/>
      <c r="B66" s="78"/>
      <c r="C66" s="78"/>
      <c r="D66" s="78"/>
      <c r="E66" s="78"/>
      <c r="F66" s="78"/>
      <c r="G66" s="78"/>
      <c r="H66" s="78"/>
    </row>
    <row r="67" spans="1:8" hidden="1" x14ac:dyDescent="0.25">
      <c r="A67" s="78" t="s">
        <v>78</v>
      </c>
      <c r="B67" s="78"/>
      <c r="C67" s="78"/>
      <c r="D67" s="78"/>
      <c r="E67" s="78"/>
      <c r="F67" s="78"/>
      <c r="G67" s="78"/>
      <c r="H67" s="78"/>
    </row>
    <row r="68" spans="1:8" hidden="1" x14ac:dyDescent="0.25">
      <c r="A68" s="78" t="s">
        <v>79</v>
      </c>
      <c r="B68" s="78"/>
      <c r="C68" s="78"/>
      <c r="D68" s="78"/>
      <c r="E68" s="78"/>
      <c r="F68" s="78"/>
      <c r="G68" s="78"/>
      <c r="H68" s="78"/>
    </row>
    <row r="69" spans="1:8" hidden="1" x14ac:dyDescent="0.25">
      <c r="A69" s="78" t="s">
        <v>80</v>
      </c>
      <c r="B69" s="78"/>
      <c r="C69" s="78"/>
      <c r="D69" s="78"/>
      <c r="E69" s="78"/>
      <c r="F69" s="78"/>
      <c r="G69" s="78"/>
      <c r="H69" s="78"/>
    </row>
    <row r="70" spans="1:8" hidden="1" x14ac:dyDescent="0.25">
      <c r="A70" s="78" t="s">
        <v>81</v>
      </c>
      <c r="B70" s="78"/>
      <c r="C70" s="78"/>
      <c r="D70" s="78"/>
      <c r="E70" s="78"/>
      <c r="F70" s="78"/>
      <c r="G70" s="78"/>
      <c r="H70" s="78"/>
    </row>
    <row r="71" spans="1:8" hidden="1" x14ac:dyDescent="0.25">
      <c r="A71" s="78" t="s">
        <v>82</v>
      </c>
      <c r="B71" s="78"/>
      <c r="C71" s="78"/>
      <c r="D71" s="78"/>
      <c r="E71" s="78"/>
      <c r="F71" s="78"/>
      <c r="G71" s="78"/>
      <c r="H71" s="78"/>
    </row>
    <row r="72" spans="1:8" hidden="1" x14ac:dyDescent="0.25">
      <c r="A72" s="78"/>
      <c r="B72" s="78"/>
      <c r="C72" s="78"/>
      <c r="D72" s="78"/>
      <c r="E72" s="78"/>
      <c r="F72" s="78"/>
      <c r="G72" s="78"/>
      <c r="H72" s="78"/>
    </row>
    <row r="73" spans="1:8" hidden="1" x14ac:dyDescent="0.25">
      <c r="A73" s="78" t="s">
        <v>83</v>
      </c>
      <c r="B73" s="78"/>
      <c r="C73" s="78"/>
      <c r="D73" s="78"/>
      <c r="E73" s="78"/>
      <c r="F73" s="78"/>
      <c r="G73" s="78"/>
      <c r="H73" s="78"/>
    </row>
    <row r="74" spans="1:8" hidden="1" x14ac:dyDescent="0.25">
      <c r="A74" s="78" t="s">
        <v>84</v>
      </c>
      <c r="B74" s="78"/>
      <c r="C74" s="78"/>
      <c r="D74" s="78"/>
      <c r="E74" s="78"/>
      <c r="F74" s="78"/>
      <c r="G74" s="78"/>
      <c r="H74" s="78"/>
    </row>
    <row r="75" spans="1:8" hidden="1" x14ac:dyDescent="0.25">
      <c r="A75" s="78"/>
      <c r="B75" s="78"/>
      <c r="C75" s="78"/>
      <c r="D75" s="78"/>
      <c r="E75" s="78"/>
      <c r="F75" s="78"/>
      <c r="G75" s="78"/>
      <c r="H75" s="78"/>
    </row>
    <row r="76" spans="1:8" hidden="1" x14ac:dyDescent="0.25">
      <c r="A76" s="78" t="s">
        <v>85</v>
      </c>
      <c r="B76" s="78"/>
      <c r="C76" s="78"/>
      <c r="D76" s="78"/>
      <c r="E76" s="78"/>
      <c r="F76" s="78"/>
      <c r="G76" s="78"/>
      <c r="H76" s="78"/>
    </row>
    <row r="77" spans="1:8" hidden="1" x14ac:dyDescent="0.25">
      <c r="A77" s="78" t="s">
        <v>86</v>
      </c>
      <c r="B77" s="78"/>
      <c r="C77" s="78"/>
      <c r="D77" s="78"/>
      <c r="E77" s="78"/>
      <c r="F77" s="78"/>
      <c r="G77" s="78"/>
      <c r="H77" s="78"/>
    </row>
    <row r="78" spans="1:8" hidden="1" x14ac:dyDescent="0.25">
      <c r="A78" s="78" t="s">
        <v>87</v>
      </c>
      <c r="B78" s="78"/>
      <c r="C78" s="78"/>
      <c r="D78" s="78"/>
      <c r="E78" s="78"/>
      <c r="F78" s="78"/>
      <c r="G78" s="78"/>
      <c r="H78" s="78"/>
    </row>
    <row r="79" spans="1:8" hidden="1" x14ac:dyDescent="0.25">
      <c r="A79" s="78" t="s">
        <v>88</v>
      </c>
      <c r="B79" s="78"/>
      <c r="C79" s="78"/>
      <c r="D79" s="78"/>
      <c r="E79" s="78"/>
      <c r="F79" s="78"/>
      <c r="G79" s="78"/>
      <c r="H79" s="78"/>
    </row>
    <row r="80" spans="1:8" hidden="1" x14ac:dyDescent="0.25">
      <c r="A80" s="78"/>
      <c r="B80" s="78"/>
      <c r="C80" s="78"/>
      <c r="D80" s="78"/>
      <c r="E80" s="78"/>
      <c r="F80" s="78"/>
      <c r="G80" s="78"/>
      <c r="H80" s="78"/>
    </row>
    <row r="81" spans="1:8" hidden="1" x14ac:dyDescent="0.25">
      <c r="A81" s="78" t="s">
        <v>89</v>
      </c>
      <c r="B81" s="78"/>
      <c r="C81" s="78"/>
      <c r="D81" s="78"/>
      <c r="E81" s="78"/>
      <c r="F81" s="78"/>
      <c r="G81" s="78"/>
      <c r="H81" s="78"/>
    </row>
    <row r="82" spans="1:8" hidden="1" x14ac:dyDescent="0.25">
      <c r="A82" s="78" t="s">
        <v>90</v>
      </c>
      <c r="B82" s="78"/>
      <c r="C82" s="78"/>
      <c r="D82" s="78"/>
      <c r="E82" s="78"/>
      <c r="F82" s="78"/>
      <c r="G82" s="78"/>
      <c r="H82" s="78"/>
    </row>
    <row r="83" spans="1:8" hidden="1" x14ac:dyDescent="0.25">
      <c r="A83" s="78" t="s">
        <v>91</v>
      </c>
      <c r="B83" s="78"/>
      <c r="C83" s="78"/>
      <c r="D83" s="78"/>
      <c r="E83" s="78"/>
      <c r="F83" s="78"/>
      <c r="G83" s="78"/>
      <c r="H83" s="78"/>
    </row>
    <row r="84" spans="1:8" hidden="1" x14ac:dyDescent="0.25">
      <c r="A84" s="78" t="s">
        <v>92</v>
      </c>
      <c r="B84" s="78"/>
      <c r="C84" s="78"/>
      <c r="D84" s="78"/>
      <c r="E84" s="78"/>
      <c r="F84" s="78"/>
      <c r="G84" s="78"/>
      <c r="H84" s="78"/>
    </row>
    <row r="85" spans="1:8" hidden="1" x14ac:dyDescent="0.25">
      <c r="A85" s="78" t="s">
        <v>93</v>
      </c>
      <c r="B85" s="78"/>
      <c r="C85" s="78"/>
      <c r="D85" s="78"/>
      <c r="E85" s="78"/>
      <c r="F85" s="78"/>
      <c r="G85" s="78"/>
      <c r="H85" s="78"/>
    </row>
    <row r="86" spans="1:8" hidden="1" x14ac:dyDescent="0.25">
      <c r="A86" s="78" t="s">
        <v>94</v>
      </c>
      <c r="B86" s="78"/>
      <c r="C86" s="78"/>
      <c r="D86" s="78"/>
      <c r="E86" s="78"/>
      <c r="F86" s="78"/>
      <c r="G86" s="78"/>
      <c r="H86" s="78"/>
    </row>
    <row r="87" spans="1:8" hidden="1" x14ac:dyDescent="0.25">
      <c r="A87" s="78" t="s">
        <v>95</v>
      </c>
      <c r="B87" s="78"/>
      <c r="C87" s="78"/>
      <c r="D87" s="78"/>
      <c r="E87" s="78"/>
      <c r="F87" s="78"/>
      <c r="G87" s="78"/>
      <c r="H87" s="78"/>
    </row>
    <row r="88" spans="1:8" hidden="1" x14ac:dyDescent="0.25">
      <c r="A88" s="78" t="s">
        <v>96</v>
      </c>
      <c r="B88" s="78"/>
      <c r="C88" s="78"/>
      <c r="D88" s="78"/>
      <c r="E88" s="78"/>
      <c r="F88" s="78"/>
      <c r="G88" s="78"/>
      <c r="H88" s="78"/>
    </row>
    <row r="89" spans="1:8" hidden="1" x14ac:dyDescent="0.25">
      <c r="A89" s="78" t="s">
        <v>88</v>
      </c>
      <c r="B89" s="78"/>
      <c r="C89" s="78"/>
      <c r="D89" s="78"/>
      <c r="E89" s="78"/>
      <c r="F89" s="78"/>
      <c r="G89" s="78"/>
      <c r="H89" s="78"/>
    </row>
    <row r="90" spans="1:8" hidden="1" x14ac:dyDescent="0.25">
      <c r="A90" s="78"/>
      <c r="B90" s="78"/>
      <c r="C90" s="78"/>
      <c r="D90" s="78"/>
      <c r="E90" s="78"/>
      <c r="F90" s="78"/>
      <c r="G90" s="78"/>
      <c r="H90" s="78"/>
    </row>
    <row r="91" spans="1:8" hidden="1" x14ac:dyDescent="0.25">
      <c r="A91" s="78" t="s">
        <v>97</v>
      </c>
      <c r="B91" s="78"/>
      <c r="C91" s="78"/>
      <c r="D91" s="78"/>
      <c r="E91" s="78"/>
      <c r="F91" s="78"/>
      <c r="G91" s="78"/>
      <c r="H91" s="78"/>
    </row>
    <row r="92" spans="1:8" hidden="1" x14ac:dyDescent="0.25">
      <c r="A92" s="78" t="s">
        <v>98</v>
      </c>
      <c r="B92" s="78"/>
      <c r="C92" s="78"/>
      <c r="D92" s="78"/>
      <c r="E92" s="78"/>
      <c r="F92" s="78"/>
      <c r="G92" s="78"/>
      <c r="H92" s="78"/>
    </row>
    <row r="93" spans="1:8" hidden="1" x14ac:dyDescent="0.25">
      <c r="A93" s="78" t="s">
        <v>99</v>
      </c>
      <c r="B93" s="78"/>
      <c r="C93" s="78"/>
      <c r="D93" s="78"/>
      <c r="E93" s="78"/>
      <c r="F93" s="78"/>
      <c r="G93" s="78"/>
      <c r="H93" s="78"/>
    </row>
    <row r="94" spans="1:8" hidden="1" x14ac:dyDescent="0.25">
      <c r="A94" s="78" t="s">
        <v>100</v>
      </c>
      <c r="B94" s="78"/>
      <c r="C94" s="78"/>
      <c r="D94" s="78"/>
      <c r="E94" s="78"/>
      <c r="F94" s="78"/>
      <c r="G94" s="78"/>
      <c r="H94" s="78"/>
    </row>
    <row r="95" spans="1:8" hidden="1" x14ac:dyDescent="0.25">
      <c r="A95" s="78"/>
      <c r="B95" s="78"/>
      <c r="C95" s="78"/>
      <c r="D95" s="78"/>
      <c r="E95" s="78"/>
      <c r="F95" s="78"/>
      <c r="G95" s="78"/>
      <c r="H95" s="78"/>
    </row>
    <row r="96" spans="1:8" hidden="1" x14ac:dyDescent="0.25">
      <c r="A96" s="78" t="s">
        <v>101</v>
      </c>
      <c r="B96" s="78"/>
      <c r="C96" s="78"/>
      <c r="D96" s="78"/>
      <c r="E96" s="78"/>
      <c r="F96" s="78"/>
      <c r="G96" s="78"/>
      <c r="H96" s="78"/>
    </row>
    <row r="97" spans="1:8" hidden="1" x14ac:dyDescent="0.25">
      <c r="A97" s="78" t="s">
        <v>102</v>
      </c>
      <c r="B97" s="78"/>
      <c r="C97" s="78"/>
      <c r="D97" s="78"/>
      <c r="E97" s="78"/>
      <c r="F97" s="78"/>
      <c r="G97" s="78"/>
      <c r="H97" s="78"/>
    </row>
    <row r="98" spans="1:8" hidden="1" x14ac:dyDescent="0.25">
      <c r="A98" s="78"/>
      <c r="B98" s="78"/>
      <c r="C98" s="78"/>
      <c r="D98" s="78"/>
      <c r="E98" s="78"/>
      <c r="F98" s="78"/>
      <c r="G98" s="78"/>
      <c r="H98" s="78"/>
    </row>
    <row r="99" spans="1:8" hidden="1" x14ac:dyDescent="0.25">
      <c r="A99" s="78" t="s">
        <v>103</v>
      </c>
      <c r="B99" s="78"/>
      <c r="C99" s="78"/>
      <c r="D99" s="78"/>
      <c r="E99" s="78"/>
      <c r="F99" s="78"/>
      <c r="G99" s="78"/>
      <c r="H99" s="78"/>
    </row>
    <row r="100" spans="1:8" hidden="1" x14ac:dyDescent="0.25">
      <c r="A100" s="78" t="s">
        <v>104</v>
      </c>
      <c r="B100" s="78"/>
      <c r="C100" s="78"/>
      <c r="D100" s="78"/>
      <c r="E100" s="78"/>
      <c r="F100" s="78"/>
      <c r="G100" s="78"/>
      <c r="H100" s="78"/>
    </row>
    <row r="101" spans="1:8" hidden="1" x14ac:dyDescent="0.25">
      <c r="A101" s="78" t="s">
        <v>105</v>
      </c>
      <c r="B101" s="78"/>
      <c r="C101" s="78"/>
      <c r="D101" s="78"/>
      <c r="E101" s="78"/>
      <c r="F101" s="78"/>
      <c r="G101" s="78"/>
      <c r="H101" s="78"/>
    </row>
    <row r="102" spans="1:8" hidden="1" x14ac:dyDescent="0.25">
      <c r="A102" s="78" t="s">
        <v>106</v>
      </c>
      <c r="B102" s="78"/>
      <c r="C102" s="78"/>
      <c r="D102" s="78"/>
      <c r="E102" s="78"/>
      <c r="F102" s="78"/>
      <c r="G102" s="78"/>
      <c r="H102" s="78"/>
    </row>
    <row r="103" spans="1:8" hidden="1" x14ac:dyDescent="0.25">
      <c r="A103" s="78" t="s">
        <v>107</v>
      </c>
      <c r="B103" s="78"/>
      <c r="C103" s="78"/>
      <c r="D103" s="78"/>
      <c r="E103" s="78"/>
      <c r="F103" s="78"/>
      <c r="G103" s="78"/>
      <c r="H103" s="78"/>
    </row>
    <row r="104" spans="1:8" hidden="1" x14ac:dyDescent="0.25">
      <c r="A104" s="78" t="s">
        <v>108</v>
      </c>
      <c r="B104" s="78"/>
      <c r="C104" s="78"/>
      <c r="D104" s="78"/>
      <c r="E104" s="78"/>
      <c r="F104" s="78"/>
      <c r="G104" s="78"/>
      <c r="H104" s="78"/>
    </row>
    <row r="105" spans="1:8" hidden="1" x14ac:dyDescent="0.25">
      <c r="A105" s="78" t="s">
        <v>109</v>
      </c>
      <c r="B105" s="78"/>
      <c r="C105" s="78"/>
      <c r="D105" s="78"/>
      <c r="E105" s="78"/>
      <c r="F105" s="78"/>
      <c r="G105" s="78"/>
      <c r="H105" s="78"/>
    </row>
    <row r="106" spans="1:8" hidden="1" x14ac:dyDescent="0.25">
      <c r="A106" s="78" t="s">
        <v>110</v>
      </c>
      <c r="B106" s="78"/>
      <c r="C106" s="78"/>
      <c r="D106" s="78"/>
      <c r="E106" s="78"/>
      <c r="F106" s="78"/>
      <c r="G106" s="78"/>
      <c r="H106" s="78"/>
    </row>
    <row r="107" spans="1:8" hidden="1" x14ac:dyDescent="0.25">
      <c r="A107" s="78" t="s">
        <v>111</v>
      </c>
      <c r="B107" s="78"/>
      <c r="C107" s="78"/>
      <c r="D107" s="78"/>
      <c r="E107" s="78"/>
      <c r="F107" s="78"/>
      <c r="G107" s="78"/>
      <c r="H107" s="78"/>
    </row>
    <row r="108" spans="1:8" hidden="1" x14ac:dyDescent="0.25">
      <c r="A108" s="78" t="s">
        <v>112</v>
      </c>
      <c r="B108" s="78"/>
      <c r="C108" s="78"/>
      <c r="D108" s="78"/>
      <c r="E108" s="78"/>
      <c r="F108" s="78"/>
      <c r="G108" s="78"/>
      <c r="H108" s="78"/>
    </row>
    <row r="109" spans="1:8" hidden="1" x14ac:dyDescent="0.25">
      <c r="A109" s="78" t="s">
        <v>113</v>
      </c>
      <c r="B109" s="78"/>
      <c r="C109" s="78"/>
      <c r="D109" s="78"/>
      <c r="E109" s="78"/>
      <c r="F109" s="78"/>
      <c r="G109" s="78"/>
      <c r="H109" s="78"/>
    </row>
    <row r="110" spans="1:8" hidden="1" x14ac:dyDescent="0.25">
      <c r="A110" s="78" t="s">
        <v>114</v>
      </c>
      <c r="B110" s="78"/>
      <c r="C110" s="78"/>
      <c r="D110" s="78"/>
      <c r="E110" s="78"/>
      <c r="F110" s="78"/>
      <c r="G110" s="78"/>
      <c r="H110" s="78"/>
    </row>
    <row r="111" spans="1:8" hidden="1" x14ac:dyDescent="0.25">
      <c r="A111" s="78" t="s">
        <v>115</v>
      </c>
      <c r="B111" s="78"/>
      <c r="C111" s="78"/>
      <c r="D111" s="78"/>
      <c r="E111" s="78"/>
      <c r="F111" s="78"/>
      <c r="G111" s="78"/>
      <c r="H111" s="78"/>
    </row>
    <row r="112" spans="1:8" hidden="1" x14ac:dyDescent="0.25">
      <c r="A112" s="78" t="s">
        <v>116</v>
      </c>
      <c r="B112" s="78"/>
      <c r="C112" s="78"/>
      <c r="D112" s="78"/>
      <c r="E112" s="78"/>
      <c r="F112" s="78"/>
      <c r="G112" s="78"/>
      <c r="H112" s="78"/>
    </row>
    <row r="113" spans="1:8" hidden="1" x14ac:dyDescent="0.25">
      <c r="A113" s="78" t="s">
        <v>117</v>
      </c>
      <c r="B113" s="78"/>
      <c r="C113" s="78"/>
      <c r="D113" s="78"/>
      <c r="E113" s="78"/>
      <c r="F113" s="78"/>
      <c r="G113" s="78"/>
      <c r="H113" s="78"/>
    </row>
    <row r="114" spans="1:8" hidden="1" x14ac:dyDescent="0.25">
      <c r="A114" s="78" t="s">
        <v>118</v>
      </c>
      <c r="B114" s="78"/>
      <c r="C114" s="78"/>
      <c r="D114" s="78"/>
      <c r="E114" s="78"/>
      <c r="F114" s="78"/>
      <c r="G114" s="78"/>
      <c r="H114" s="78"/>
    </row>
    <row r="115" spans="1:8" hidden="1" x14ac:dyDescent="0.25">
      <c r="A115" s="78" t="s">
        <v>119</v>
      </c>
      <c r="B115" s="78"/>
      <c r="C115" s="78"/>
      <c r="D115" s="78"/>
      <c r="E115" s="78"/>
      <c r="F115" s="78"/>
      <c r="G115" s="78"/>
      <c r="H115" s="78"/>
    </row>
    <row r="116" spans="1:8" hidden="1" x14ac:dyDescent="0.25">
      <c r="A116" s="78" t="s">
        <v>120</v>
      </c>
      <c r="B116" s="78"/>
      <c r="C116" s="78"/>
      <c r="D116" s="78"/>
      <c r="E116" s="78"/>
      <c r="F116" s="78"/>
      <c r="G116" s="78"/>
      <c r="H116" s="78"/>
    </row>
    <row r="117" spans="1:8" hidden="1" x14ac:dyDescent="0.25">
      <c r="A117" s="78"/>
      <c r="B117" s="78"/>
      <c r="C117" s="78"/>
      <c r="D117" s="78"/>
      <c r="E117" s="78"/>
      <c r="F117" s="78"/>
      <c r="G117" s="78"/>
      <c r="H117" s="78"/>
    </row>
    <row r="118" spans="1:8" hidden="1" x14ac:dyDescent="0.25">
      <c r="A118" s="78" t="s">
        <v>121</v>
      </c>
      <c r="B118" s="78"/>
      <c r="C118" s="78"/>
      <c r="D118" s="78"/>
      <c r="E118" s="78"/>
      <c r="F118" s="78"/>
      <c r="G118" s="78"/>
      <c r="H118" s="78"/>
    </row>
    <row r="119" spans="1:8" hidden="1" x14ac:dyDescent="0.25">
      <c r="A119" s="78" t="s">
        <v>122</v>
      </c>
      <c r="B119" s="78"/>
      <c r="C119" s="78"/>
      <c r="D119" s="78"/>
      <c r="E119" s="78"/>
      <c r="F119" s="78"/>
      <c r="G119" s="78"/>
      <c r="H119" s="78"/>
    </row>
    <row r="120" spans="1:8" hidden="1" x14ac:dyDescent="0.25">
      <c r="A120" s="78" t="s">
        <v>123</v>
      </c>
      <c r="B120" s="78"/>
      <c r="C120" s="78"/>
      <c r="D120" s="78"/>
      <c r="E120" s="78"/>
      <c r="F120" s="78"/>
      <c r="G120" s="78"/>
      <c r="H120" s="78"/>
    </row>
    <row r="121" spans="1:8" hidden="1" x14ac:dyDescent="0.25">
      <c r="A121" s="78"/>
      <c r="B121" s="78"/>
      <c r="C121" s="78"/>
      <c r="D121" s="78"/>
      <c r="E121" s="78"/>
      <c r="F121" s="78"/>
      <c r="G121" s="78"/>
      <c r="H121" s="78"/>
    </row>
    <row r="122" spans="1:8" hidden="1" x14ac:dyDescent="0.25">
      <c r="A122" s="78" t="s">
        <v>124</v>
      </c>
      <c r="B122" s="78"/>
      <c r="C122" s="78"/>
      <c r="D122" s="78"/>
      <c r="E122" s="78"/>
      <c r="F122" s="78"/>
      <c r="G122" s="78"/>
      <c r="H122" s="78"/>
    </row>
    <row r="123" spans="1:8" hidden="1" x14ac:dyDescent="0.25">
      <c r="A123" s="78" t="s">
        <v>125</v>
      </c>
      <c r="B123" s="78"/>
      <c r="C123" s="78"/>
      <c r="D123" s="78"/>
      <c r="E123" s="78"/>
      <c r="F123" s="78"/>
      <c r="G123" s="78"/>
      <c r="H123" s="78"/>
    </row>
    <row r="124" spans="1:8" hidden="1" x14ac:dyDescent="0.25">
      <c r="A124" s="78" t="s">
        <v>126</v>
      </c>
      <c r="B124" s="78"/>
      <c r="C124" s="78"/>
      <c r="D124" s="78"/>
      <c r="E124" s="78"/>
      <c r="F124" s="78"/>
      <c r="G124" s="78"/>
      <c r="H124" s="78"/>
    </row>
    <row r="125" spans="1:8" hidden="1" x14ac:dyDescent="0.25">
      <c r="A125" s="78" t="s">
        <v>82</v>
      </c>
      <c r="B125" s="78"/>
      <c r="C125" s="78"/>
      <c r="D125" s="78"/>
      <c r="E125" s="78"/>
      <c r="F125" s="78"/>
      <c r="G125" s="78"/>
      <c r="H125" s="78"/>
    </row>
    <row r="126" spans="1:8" hidden="1" x14ac:dyDescent="0.25">
      <c r="A126" s="78"/>
      <c r="B126" s="78"/>
      <c r="C126" s="78"/>
      <c r="D126" s="78"/>
      <c r="E126" s="78"/>
      <c r="F126" s="78"/>
      <c r="G126" s="78"/>
      <c r="H126" s="78"/>
    </row>
    <row r="127" spans="1:8" hidden="1" x14ac:dyDescent="0.25">
      <c r="A127" s="78" t="s">
        <v>83</v>
      </c>
      <c r="B127" s="78"/>
      <c r="C127" s="78"/>
      <c r="D127" s="78"/>
      <c r="E127" s="78"/>
      <c r="F127" s="78"/>
      <c r="G127" s="78"/>
      <c r="H127" s="78"/>
    </row>
    <row r="128" spans="1:8" hidden="1" x14ac:dyDescent="0.25">
      <c r="A128" s="78"/>
      <c r="B128" s="78"/>
      <c r="C128" s="78"/>
      <c r="D128" s="78"/>
      <c r="E128" s="78"/>
      <c r="F128" s="78"/>
      <c r="G128" s="78"/>
      <c r="H128" s="78"/>
    </row>
    <row r="129" spans="1:8" hidden="1" x14ac:dyDescent="0.25">
      <c r="A129" s="78" t="s">
        <v>127</v>
      </c>
      <c r="B129" s="78"/>
      <c r="C129" s="78"/>
      <c r="D129" s="78"/>
      <c r="E129" s="78"/>
      <c r="F129" s="78"/>
      <c r="G129" s="78"/>
      <c r="H129" s="78"/>
    </row>
    <row r="130" spans="1:8" hidden="1" x14ac:dyDescent="0.25">
      <c r="A130" s="78" t="s">
        <v>128</v>
      </c>
      <c r="B130" s="78"/>
      <c r="C130" s="78"/>
      <c r="D130" s="78"/>
      <c r="E130" s="78"/>
      <c r="F130" s="78"/>
      <c r="G130" s="78"/>
      <c r="H130" s="78"/>
    </row>
    <row r="131" spans="1:8" hidden="1" x14ac:dyDescent="0.25">
      <c r="A131" s="78" t="s">
        <v>129</v>
      </c>
      <c r="B131" s="78"/>
      <c r="C131" s="78"/>
      <c r="D131" s="78"/>
      <c r="E131" s="78"/>
      <c r="F131" s="78"/>
      <c r="G131" s="78"/>
      <c r="H131" s="78"/>
    </row>
    <row r="132" spans="1:8" hidden="1" x14ac:dyDescent="0.25">
      <c r="A132" s="78"/>
      <c r="B132" s="78"/>
      <c r="C132" s="78"/>
      <c r="D132" s="78"/>
      <c r="E132" s="78"/>
      <c r="F132" s="78"/>
      <c r="G132" s="78"/>
      <c r="H132" s="78"/>
    </row>
    <row r="133" spans="1:8" hidden="1" x14ac:dyDescent="0.25">
      <c r="A133" s="78" t="s">
        <v>130</v>
      </c>
      <c r="B133" s="78"/>
      <c r="C133" s="78"/>
      <c r="D133" s="78"/>
      <c r="E133" s="78"/>
      <c r="F133" s="78"/>
      <c r="G133" s="78"/>
      <c r="H133" s="78"/>
    </row>
    <row r="134" spans="1:8" hidden="1" x14ac:dyDescent="0.25">
      <c r="A134" s="78" t="s">
        <v>131</v>
      </c>
      <c r="B134" s="78"/>
      <c r="C134" s="78"/>
      <c r="D134" s="78"/>
      <c r="E134" s="78"/>
      <c r="F134" s="78"/>
      <c r="G134" s="78"/>
      <c r="H134" s="78"/>
    </row>
    <row r="135" spans="1:8" hidden="1" x14ac:dyDescent="0.25">
      <c r="A135" s="78" t="s">
        <v>132</v>
      </c>
      <c r="B135" s="78"/>
      <c r="C135" s="78"/>
      <c r="D135" s="78"/>
      <c r="E135" s="78"/>
      <c r="F135" s="78"/>
      <c r="G135" s="78"/>
      <c r="H135" s="78"/>
    </row>
    <row r="136" spans="1:8" hidden="1" x14ac:dyDescent="0.25">
      <c r="A136" s="78" t="s">
        <v>133</v>
      </c>
      <c r="B136" s="78"/>
      <c r="C136" s="78"/>
      <c r="D136" s="78"/>
      <c r="E136" s="78"/>
      <c r="F136" s="78"/>
      <c r="G136" s="78"/>
      <c r="H136" s="78"/>
    </row>
    <row r="137" spans="1:8" hidden="1" x14ac:dyDescent="0.25">
      <c r="A137" s="78" t="s">
        <v>134</v>
      </c>
      <c r="B137" s="78"/>
      <c r="C137" s="78"/>
      <c r="D137" s="78"/>
      <c r="E137" s="78"/>
      <c r="F137" s="78"/>
      <c r="G137" s="78"/>
      <c r="H137" s="78"/>
    </row>
    <row r="138" spans="1:8" hidden="1" x14ac:dyDescent="0.25">
      <c r="A138" s="78"/>
      <c r="B138" s="78"/>
      <c r="C138" s="78"/>
      <c r="D138" s="78"/>
      <c r="E138" s="78"/>
      <c r="F138" s="78"/>
      <c r="G138" s="78"/>
      <c r="H138" s="78"/>
    </row>
    <row r="139" spans="1:8" hidden="1" x14ac:dyDescent="0.25">
      <c r="A139" s="78" t="s">
        <v>135</v>
      </c>
      <c r="B139" s="78"/>
      <c r="C139" s="78"/>
      <c r="D139" s="78"/>
      <c r="E139" s="78"/>
      <c r="F139" s="78"/>
      <c r="G139" s="78"/>
      <c r="H139" s="78"/>
    </row>
    <row r="140" spans="1:8" hidden="1" x14ac:dyDescent="0.25">
      <c r="A140" s="78" t="s">
        <v>123</v>
      </c>
      <c r="B140" s="78"/>
      <c r="C140" s="78"/>
      <c r="D140" s="78"/>
      <c r="E140" s="78"/>
      <c r="F140" s="78"/>
      <c r="G140" s="78"/>
      <c r="H140" s="78"/>
    </row>
    <row r="141" spans="1:8" hidden="1" x14ac:dyDescent="0.25"/>
    <row r="142" spans="1:8" x14ac:dyDescent="0.25">
      <c r="A142" s="42" t="s">
        <v>136</v>
      </c>
      <c r="C142" s="43" t="s">
        <v>137</v>
      </c>
    </row>
    <row r="143" spans="1:8" x14ac:dyDescent="0.25">
      <c r="A143" s="42" t="s">
        <v>138</v>
      </c>
      <c r="C143" s="43" t="s">
        <v>139</v>
      </c>
    </row>
  </sheetData>
  <sheetProtection algorithmName="SHA-512" hashValue="ZwmU8sBsoBdo9EldaqA7+qES5cg8AAW1o2dgS16CewnrtGfHRqBDKGB1DrQLphjmrLDN1ENK2wDjWyNqbIQogA==" saltValue="4rAQ7CKXfxvl+sPbH70/KQ==" spinCount="100000" sheet="1" objects="1" scenarios="1"/>
  <mergeCells count="150">
    <mergeCell ref="A138:H138"/>
    <mergeCell ref="A139:H139"/>
    <mergeCell ref="A140:H140"/>
    <mergeCell ref="A129:H129"/>
    <mergeCell ref="A130:H130"/>
    <mergeCell ref="A131:H131"/>
    <mergeCell ref="A132:H132"/>
    <mergeCell ref="A133:H133"/>
    <mergeCell ref="A134:H134"/>
    <mergeCell ref="A135:H135"/>
    <mergeCell ref="A136:H136"/>
    <mergeCell ref="A137:H137"/>
    <mergeCell ref="A120:H120"/>
    <mergeCell ref="A121:H121"/>
    <mergeCell ref="A122:H122"/>
    <mergeCell ref="A123:H123"/>
    <mergeCell ref="A124:H124"/>
    <mergeCell ref="A125:H125"/>
    <mergeCell ref="A126:H126"/>
    <mergeCell ref="A127:H127"/>
    <mergeCell ref="A128:H128"/>
    <mergeCell ref="A111:H111"/>
    <mergeCell ref="A112:H112"/>
    <mergeCell ref="A113:H113"/>
    <mergeCell ref="A114:H114"/>
    <mergeCell ref="A115:H115"/>
    <mergeCell ref="A116:H116"/>
    <mergeCell ref="A117:H117"/>
    <mergeCell ref="A118:H118"/>
    <mergeCell ref="A119:H119"/>
    <mergeCell ref="A102:H102"/>
    <mergeCell ref="A103:H103"/>
    <mergeCell ref="A104:H104"/>
    <mergeCell ref="A105:H105"/>
    <mergeCell ref="A106:H106"/>
    <mergeCell ref="A107:H107"/>
    <mergeCell ref="A108:H108"/>
    <mergeCell ref="A109:H109"/>
    <mergeCell ref="A110:H110"/>
    <mergeCell ref="A93:H93"/>
    <mergeCell ref="A94:H94"/>
    <mergeCell ref="A95:H95"/>
    <mergeCell ref="A96:H96"/>
    <mergeCell ref="A97:H97"/>
    <mergeCell ref="A98:H98"/>
    <mergeCell ref="A99:H99"/>
    <mergeCell ref="A100:H100"/>
    <mergeCell ref="A101:H101"/>
    <mergeCell ref="A84:H84"/>
    <mergeCell ref="A85:H85"/>
    <mergeCell ref="A86:H86"/>
    <mergeCell ref="A87:H87"/>
    <mergeCell ref="A88:H88"/>
    <mergeCell ref="A89:H89"/>
    <mergeCell ref="A90:H90"/>
    <mergeCell ref="A91:H91"/>
    <mergeCell ref="A92:H92"/>
    <mergeCell ref="A75:H75"/>
    <mergeCell ref="A76:H76"/>
    <mergeCell ref="A77:H77"/>
    <mergeCell ref="A78:H78"/>
    <mergeCell ref="A79:H79"/>
    <mergeCell ref="A80:H80"/>
    <mergeCell ref="A81:H81"/>
    <mergeCell ref="A82:H82"/>
    <mergeCell ref="A83:H83"/>
    <mergeCell ref="A66:H66"/>
    <mergeCell ref="A67:H67"/>
    <mergeCell ref="A68:H68"/>
    <mergeCell ref="A69:H69"/>
    <mergeCell ref="A70:H70"/>
    <mergeCell ref="A71:H71"/>
    <mergeCell ref="A72:H72"/>
    <mergeCell ref="A73:H73"/>
    <mergeCell ref="A74:H74"/>
    <mergeCell ref="A56:H56"/>
    <mergeCell ref="A57:H57"/>
    <mergeCell ref="A58:H58"/>
    <mergeCell ref="A59:H59"/>
    <mergeCell ref="A60:H60"/>
    <mergeCell ref="A61:H61"/>
    <mergeCell ref="A62:H62"/>
    <mergeCell ref="A64:H64"/>
    <mergeCell ref="A65:H65"/>
    <mergeCell ref="A43:H43"/>
    <mergeCell ref="A45:H45"/>
    <mergeCell ref="A46:H46"/>
    <mergeCell ref="A48:H48"/>
    <mergeCell ref="A49:H49"/>
    <mergeCell ref="A51:H51"/>
    <mergeCell ref="A52:H52"/>
    <mergeCell ref="A54:H54"/>
    <mergeCell ref="A55:H55"/>
    <mergeCell ref="A37:C37"/>
    <mergeCell ref="D37:E37"/>
    <mergeCell ref="F37:H37"/>
    <mergeCell ref="A40:B40"/>
    <mergeCell ref="C40:H40"/>
    <mergeCell ref="A41:B41"/>
    <mergeCell ref="C41:H41"/>
    <mergeCell ref="A42:B42"/>
    <mergeCell ref="C42:H42"/>
    <mergeCell ref="A34:C34"/>
    <mergeCell ref="D34:E34"/>
    <mergeCell ref="F34:H34"/>
    <mergeCell ref="A35:C35"/>
    <mergeCell ref="D35:E35"/>
    <mergeCell ref="F35:H35"/>
    <mergeCell ref="A36:C36"/>
    <mergeCell ref="D36:E36"/>
    <mergeCell ref="F36:H36"/>
    <mergeCell ref="A23:H23"/>
    <mergeCell ref="B24:H24"/>
    <mergeCell ref="B25:H25"/>
    <mergeCell ref="B26:H26"/>
    <mergeCell ref="B27:H27"/>
    <mergeCell ref="B28:H28"/>
    <mergeCell ref="A29:H29"/>
    <mergeCell ref="A31:H31"/>
    <mergeCell ref="A33:C33"/>
    <mergeCell ref="D33:E33"/>
    <mergeCell ref="F33:H33"/>
    <mergeCell ref="A15:B15"/>
    <mergeCell ref="C15:H15"/>
    <mergeCell ref="A16:H16"/>
    <mergeCell ref="A17:H17"/>
    <mergeCell ref="A18:H18"/>
    <mergeCell ref="A19:H19"/>
    <mergeCell ref="A20:H20"/>
    <mergeCell ref="A21:H21"/>
    <mergeCell ref="A22:H22"/>
    <mergeCell ref="A10:B10"/>
    <mergeCell ref="C10:H10"/>
    <mergeCell ref="A11:B11"/>
    <mergeCell ref="C11:H11"/>
    <mergeCell ref="A12:B12"/>
    <mergeCell ref="C12:H12"/>
    <mergeCell ref="A13:B13"/>
    <mergeCell ref="C13:H13"/>
    <mergeCell ref="A14:B14"/>
    <mergeCell ref="C14:H14"/>
    <mergeCell ref="A1:H1"/>
    <mergeCell ref="A2:H2"/>
    <mergeCell ref="A4:H4"/>
    <mergeCell ref="A5:H5"/>
    <mergeCell ref="A6:H6"/>
    <mergeCell ref="A7:H7"/>
    <mergeCell ref="A8:H8"/>
    <mergeCell ref="A9:B9"/>
    <mergeCell ref="C9:H9"/>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pageSetUpPr fitToPage="1"/>
  </sheetPr>
  <dimension ref="A1:I116"/>
  <sheetViews>
    <sheetView showGridLines="0" zoomScaleNormal="100" workbookViewId="0">
      <selection activeCell="A79" sqref="A79:E79"/>
    </sheetView>
  </sheetViews>
  <sheetFormatPr baseColWidth="10" defaultColWidth="8.6640625" defaultRowHeight="13.8" x14ac:dyDescent="0.25"/>
  <cols>
    <col min="1" max="1" width="26" style="30" customWidth="1"/>
    <col min="2" max="2" width="53.33203125" style="30" bestFit="1" customWidth="1"/>
    <col min="3" max="3" width="30" style="44" customWidth="1"/>
    <col min="4" max="4" width="7.77734375" style="44" bestFit="1" customWidth="1"/>
    <col min="5" max="5" width="13.21875" style="30" bestFit="1" customWidth="1"/>
    <col min="6" max="6" width="16.6640625" style="30" customWidth="1"/>
    <col min="7" max="7" width="16" style="30" customWidth="1"/>
    <col min="8" max="8" width="9" style="30" customWidth="1"/>
    <col min="9" max="9" width="8" style="31" customWidth="1"/>
    <col min="10" max="16384" width="8.6640625" style="30"/>
  </cols>
  <sheetData>
    <row r="1" spans="1:9" ht="30" customHeight="1" x14ac:dyDescent="0.25">
      <c r="A1" s="79" t="s">
        <v>140</v>
      </c>
      <c r="B1" s="79"/>
      <c r="C1" s="79"/>
      <c r="D1" s="79"/>
      <c r="E1" s="79"/>
      <c r="F1" s="79"/>
      <c r="G1" s="79"/>
      <c r="H1" s="79"/>
      <c r="I1" s="79"/>
    </row>
    <row r="2" spans="1:9" ht="24.6" customHeight="1" x14ac:dyDescent="0.25">
      <c r="A2" s="80" t="s">
        <v>141</v>
      </c>
      <c r="B2" s="80"/>
      <c r="C2" s="80"/>
      <c r="D2" s="80"/>
      <c r="E2" s="80"/>
      <c r="F2" s="80"/>
      <c r="G2" s="80"/>
      <c r="H2" s="80"/>
      <c r="I2" s="80"/>
    </row>
    <row r="3" spans="1:9" ht="9" customHeight="1" x14ac:dyDescent="0.25">
      <c r="A3" s="51"/>
      <c r="B3" s="51"/>
      <c r="C3" s="51"/>
      <c r="D3" s="51"/>
      <c r="E3" s="51"/>
      <c r="F3" s="51"/>
      <c r="G3" s="51"/>
      <c r="H3" s="51"/>
      <c r="I3" s="51"/>
    </row>
    <row r="4" spans="1:9" ht="19.5" customHeight="1" x14ac:dyDescent="0.25">
      <c r="A4" s="63" t="s">
        <v>142</v>
      </c>
      <c r="B4" s="63"/>
      <c r="C4" s="63"/>
      <c r="D4" s="63"/>
      <c r="E4" s="63"/>
      <c r="F4" s="63"/>
      <c r="G4" s="63"/>
      <c r="H4" s="63"/>
      <c r="I4" s="63"/>
    </row>
    <row r="5" spans="1:9" ht="15" customHeight="1" x14ac:dyDescent="0.25">
      <c r="A5" s="81" t="s">
        <v>143</v>
      </c>
      <c r="B5" s="81"/>
      <c r="C5" s="82" t="s">
        <v>607</v>
      </c>
      <c r="D5" s="83"/>
    </row>
    <row r="6" spans="1:9" ht="15" customHeight="1" x14ac:dyDescent="0.25">
      <c r="A6" s="81" t="s">
        <v>144</v>
      </c>
      <c r="B6" s="81"/>
      <c r="C6" s="84">
        <v>46290</v>
      </c>
      <c r="D6" s="84"/>
    </row>
    <row r="7" spans="1:9" ht="15" customHeight="1" x14ac:dyDescent="0.25">
      <c r="A7" s="81" t="s">
        <v>145</v>
      </c>
      <c r="B7" s="81"/>
      <c r="C7" s="83" t="s">
        <v>610</v>
      </c>
      <c r="D7" s="83"/>
    </row>
    <row r="8" spans="1:9" ht="15" customHeight="1" x14ac:dyDescent="0.25">
      <c r="A8" s="81" t="s">
        <v>146</v>
      </c>
      <c r="B8" s="81"/>
      <c r="C8" s="84">
        <v>45448</v>
      </c>
      <c r="D8" s="84"/>
    </row>
    <row r="9" spans="1:9" x14ac:dyDescent="0.25">
      <c r="A9" s="85" t="s">
        <v>147</v>
      </c>
      <c r="B9" s="85"/>
      <c r="C9" s="86">
        <f ca="1">IF(C8="","",DATEDIF(C8,IF(C6="",TODAY(),C6),"m"))</f>
        <v>27</v>
      </c>
      <c r="D9" s="86"/>
      <c r="E9" s="87" t="s">
        <v>148</v>
      </c>
      <c r="F9" s="87"/>
      <c r="G9" s="88" t="str">
        <f ca="1">IF(C9="","",IF(OR(C9&lt;12,C9&gt;42),"FUERA DE RANGO","EN RANGO"))</f>
        <v>EN RANGO</v>
      </c>
      <c r="H9" s="88"/>
      <c r="I9" s="88"/>
    </row>
    <row r="10" spans="1:9" ht="15" customHeight="1" x14ac:dyDescent="0.25">
      <c r="A10" s="81" t="s">
        <v>149</v>
      </c>
      <c r="B10" s="81"/>
      <c r="C10" s="83" t="s">
        <v>490</v>
      </c>
      <c r="D10" s="83"/>
    </row>
    <row r="11" spans="1:9" ht="15" customHeight="1" x14ac:dyDescent="0.25">
      <c r="A11" s="81" t="s">
        <v>150</v>
      </c>
      <c r="B11" s="81"/>
      <c r="C11" s="83" t="s">
        <v>492</v>
      </c>
      <c r="D11" s="83"/>
    </row>
    <row r="12" spans="1:9" ht="15" customHeight="1" x14ac:dyDescent="0.25">
      <c r="A12" s="81" t="s">
        <v>151</v>
      </c>
      <c r="B12" s="81"/>
      <c r="C12" s="83" t="s">
        <v>606</v>
      </c>
      <c r="D12" s="83"/>
    </row>
    <row r="13" spans="1:9" ht="15" customHeight="1" x14ac:dyDescent="0.25">
      <c r="A13" s="81" t="s">
        <v>152</v>
      </c>
      <c r="B13" s="81"/>
      <c r="C13" s="83" t="s">
        <v>611</v>
      </c>
      <c r="D13" s="83"/>
    </row>
    <row r="14" spans="1:9" ht="15" customHeight="1" x14ac:dyDescent="0.25">
      <c r="A14" s="81" t="s">
        <v>153</v>
      </c>
      <c r="B14" s="81"/>
      <c r="C14" s="83" t="s">
        <v>483</v>
      </c>
      <c r="D14" s="83"/>
    </row>
    <row r="15" spans="1:9" ht="15" customHeight="1" x14ac:dyDescent="0.25">
      <c r="A15" s="81" t="s">
        <v>154</v>
      </c>
      <c r="B15" s="81"/>
      <c r="C15" s="83">
        <v>960193518</v>
      </c>
      <c r="D15" s="83"/>
    </row>
    <row r="16" spans="1:9" ht="15" customHeight="1" x14ac:dyDescent="0.25">
      <c r="A16" s="81" t="s">
        <v>155</v>
      </c>
      <c r="B16" s="81"/>
      <c r="C16" s="83" t="s">
        <v>494</v>
      </c>
      <c r="D16" s="83"/>
    </row>
    <row r="18" spans="1:9" ht="19.5" customHeight="1" x14ac:dyDescent="0.25">
      <c r="A18" s="63" t="s">
        <v>156</v>
      </c>
      <c r="B18" s="63"/>
      <c r="C18" s="63"/>
      <c r="D18" s="63"/>
      <c r="E18" s="63"/>
      <c r="F18" s="63"/>
      <c r="G18" s="63"/>
      <c r="H18" s="63"/>
      <c r="I18" s="63"/>
    </row>
    <row r="19" spans="1:9" ht="15" customHeight="1" x14ac:dyDescent="0.25">
      <c r="A19" s="81" t="s">
        <v>157</v>
      </c>
      <c r="B19" s="81"/>
      <c r="C19" s="89">
        <v>2500</v>
      </c>
      <c r="D19" s="89"/>
    </row>
    <row r="20" spans="1:9" ht="15" customHeight="1" x14ac:dyDescent="0.25">
      <c r="A20" s="81" t="s">
        <v>158</v>
      </c>
      <c r="B20" s="81"/>
      <c r="C20" s="90">
        <v>2</v>
      </c>
      <c r="D20" s="90"/>
    </row>
    <row r="21" spans="1:9" ht="15" customHeight="1" x14ac:dyDescent="0.25">
      <c r="A21" s="81" t="s">
        <v>159</v>
      </c>
      <c r="B21" s="81"/>
      <c r="C21" s="90">
        <v>1</v>
      </c>
      <c r="D21" s="90"/>
    </row>
    <row r="22" spans="1:9" ht="15" customHeight="1" x14ac:dyDescent="0.25">
      <c r="A22" s="81" t="s">
        <v>160</v>
      </c>
      <c r="B22" s="81"/>
      <c r="C22" s="90">
        <v>1</v>
      </c>
      <c r="D22" s="90"/>
    </row>
    <row r="23" spans="1:9" ht="15" customHeight="1" x14ac:dyDescent="0.25">
      <c r="A23" s="81" t="s">
        <v>161</v>
      </c>
      <c r="B23" s="81"/>
      <c r="C23" s="90">
        <v>2</v>
      </c>
      <c r="D23" s="90"/>
    </row>
    <row r="25" spans="1:9" ht="19.5" customHeight="1" x14ac:dyDescent="0.25">
      <c r="A25" s="63" t="s">
        <v>162</v>
      </c>
      <c r="B25" s="63"/>
      <c r="C25" s="63"/>
      <c r="D25" s="63"/>
      <c r="E25" s="63"/>
      <c r="F25" s="63"/>
      <c r="G25" s="63"/>
      <c r="H25" s="63"/>
      <c r="I25" s="63"/>
    </row>
    <row r="26" spans="1:9" ht="27.75" customHeight="1" x14ac:dyDescent="0.25">
      <c r="A26" s="32" t="s">
        <v>163</v>
      </c>
      <c r="B26" s="32" t="s">
        <v>164</v>
      </c>
      <c r="C26" s="32" t="s">
        <v>165</v>
      </c>
      <c r="D26" s="32" t="s">
        <v>166</v>
      </c>
      <c r="E26" s="32" t="s">
        <v>167</v>
      </c>
      <c r="F26" s="32" t="s">
        <v>168</v>
      </c>
      <c r="G26" s="32" t="s">
        <v>169</v>
      </c>
      <c r="H26" s="32"/>
      <c r="I26" s="32" t="s">
        <v>170</v>
      </c>
    </row>
    <row r="27" spans="1:9" ht="19.5" customHeight="1" x14ac:dyDescent="0.25">
      <c r="A27" s="91" t="s">
        <v>171</v>
      </c>
      <c r="B27" s="91"/>
      <c r="C27" s="91"/>
      <c r="D27" s="91"/>
      <c r="E27" s="91"/>
      <c r="F27" s="91"/>
      <c r="G27" s="91"/>
      <c r="H27" s="91"/>
      <c r="I27" s="91"/>
    </row>
    <row r="28" spans="1:9" ht="44.4" customHeight="1" x14ac:dyDescent="0.25">
      <c r="A28" s="33" t="s">
        <v>172</v>
      </c>
      <c r="B28" s="33" t="s">
        <v>173</v>
      </c>
      <c r="C28" s="46">
        <f>IF(OR(C19="",C20=""),"",C19/MAX(C20,1))</f>
        <v>1250</v>
      </c>
      <c r="D28" s="34">
        <f>IF(OR(C19="",C20=""),"",IF((C19/MAX(C20,1))/CanastaRef&gt;=RatioT_100,0,IF((C19/MAX(C20,1))/CanastaRef&gt;=RatioT_075,1,IF((C19/MAX(C20,1))/CanastaRef&gt;=RatioT_050,2,IF((C19/MAX(C20,1))/CanastaRef&gt;=RatioT_025,3,4)))))</f>
        <v>0</v>
      </c>
      <c r="E28" s="35">
        <f>VLOOKUP(I28,PARÁMETROS!$A:$E,4,0)</f>
        <v>20</v>
      </c>
      <c r="F28" s="35">
        <f>VLOOKUP(I28,PARÁMETROS!$A:$E,5,0)</f>
        <v>4</v>
      </c>
      <c r="G28" s="36">
        <f>IF(D28="","",D28/4*F28)</f>
        <v>0</v>
      </c>
      <c r="H28" s="37"/>
      <c r="I28" s="38" t="s">
        <v>174</v>
      </c>
    </row>
    <row r="29" spans="1:9" ht="27.6" x14ac:dyDescent="0.25">
      <c r="A29" s="33" t="s">
        <v>175</v>
      </c>
      <c r="B29" s="33" t="s">
        <v>176</v>
      </c>
      <c r="C29" s="47" t="s">
        <v>584</v>
      </c>
      <c r="D29" s="34">
        <f>IF(C29="","",SUMIFS(ParamOpcScore,ParamOpcID,$I$29,ParamOpcTexto,C29))</f>
        <v>1</v>
      </c>
      <c r="E29" s="35">
        <f>VLOOKUP(I29,PARÁMETROS!$A:$E,4,0)</f>
        <v>20</v>
      </c>
      <c r="F29" s="35">
        <f>VLOOKUP(I29,PARÁMETROS!$A:$E,5,0)</f>
        <v>4</v>
      </c>
      <c r="G29" s="36">
        <f>IF(D29="","",D29/4*F29)</f>
        <v>1</v>
      </c>
      <c r="H29" s="37"/>
      <c r="I29" s="38" t="s">
        <v>177</v>
      </c>
    </row>
    <row r="30" spans="1:9" ht="26.4" customHeight="1" x14ac:dyDescent="0.25">
      <c r="A30" s="33" t="s">
        <v>178</v>
      </c>
      <c r="B30" s="33" t="s">
        <v>179</v>
      </c>
      <c r="C30" s="47" t="s">
        <v>365</v>
      </c>
      <c r="D30" s="34">
        <f>IF(C30="","",SUMIFS(ParamOpcScore,ParamOpcID,$I$30,ParamOpcTexto,C30))</f>
        <v>0</v>
      </c>
      <c r="E30" s="35">
        <f>VLOOKUP(I30,PARÁMETROS!$A:$E,4,0)</f>
        <v>20</v>
      </c>
      <c r="F30" s="35">
        <f>VLOOKUP(I30,PARÁMETROS!$A:$E,5,0)</f>
        <v>4</v>
      </c>
      <c r="G30" s="36">
        <f>IF(D30="","",D30/4*F30)</f>
        <v>0</v>
      </c>
      <c r="H30" s="37"/>
      <c r="I30" s="38" t="s">
        <v>180</v>
      </c>
    </row>
    <row r="31" spans="1:9" ht="30.6" customHeight="1" x14ac:dyDescent="0.25">
      <c r="A31" s="33" t="s">
        <v>181</v>
      </c>
      <c r="B31" s="33" t="s">
        <v>182</v>
      </c>
      <c r="C31" s="48">
        <f>IF(OR(C20="",C21=""),"",C20/MAX(C21,1))</f>
        <v>2</v>
      </c>
      <c r="D31" s="34">
        <f>IF(OR(C20="",C21=""),"",IF((C20/MAX(C21,1))&lt;=DepT_1,0,IF((C20/MAX(C21,1))&lt;=DepT_2,1,IF((C20/MAX(C21,1))&lt;=DepT_3,2,IF((C20/MAX(C21,1))&lt;=DepT_4,3,4)))))</f>
        <v>1</v>
      </c>
      <c r="E31" s="35">
        <f>VLOOKUP(I31,PARÁMETROS!$A:$E,4,0)</f>
        <v>20</v>
      </c>
      <c r="F31" s="35">
        <f>VLOOKUP(I31,PARÁMETROS!$A:$E,5,0)</f>
        <v>4</v>
      </c>
      <c r="G31" s="36">
        <f>IF(D31="","",D31/4*F31)</f>
        <v>1</v>
      </c>
      <c r="H31" s="37"/>
      <c r="I31" s="38" t="s">
        <v>183</v>
      </c>
    </row>
    <row r="32" spans="1:9" ht="43.2" customHeight="1" x14ac:dyDescent="0.25">
      <c r="A32" s="33" t="s">
        <v>184</v>
      </c>
      <c r="B32" s="33" t="s">
        <v>185</v>
      </c>
      <c r="C32" s="47" t="s">
        <v>369</v>
      </c>
      <c r="D32" s="34">
        <f>IF(C32="","",SUMIFS(ParamOpcScore,ParamOpcID,$I$32,ParamOpcTexto,C32))</f>
        <v>0</v>
      </c>
      <c r="E32" s="35">
        <f>VLOOKUP(I32,PARÁMETROS!$A:$E,4,0)</f>
        <v>20</v>
      </c>
      <c r="F32" s="35">
        <f>VLOOKUP(I32,PARÁMETROS!$A:$E,5,0)</f>
        <v>4</v>
      </c>
      <c r="G32" s="36">
        <f>IF(D32="","",D32/4*F32)</f>
        <v>0</v>
      </c>
      <c r="H32" s="37"/>
      <c r="I32" s="38" t="s">
        <v>186</v>
      </c>
    </row>
    <row r="33" spans="1:9" x14ac:dyDescent="0.25">
      <c r="A33" s="92" t="s">
        <v>187</v>
      </c>
      <c r="B33" s="92"/>
      <c r="C33" s="92"/>
      <c r="D33" s="92"/>
      <c r="E33" s="92"/>
      <c r="F33" s="92"/>
      <c r="G33" s="39">
        <f>SUM(G28:G32)</f>
        <v>2</v>
      </c>
      <c r="H33" s="40"/>
    </row>
    <row r="34" spans="1:9" ht="19.5" customHeight="1" x14ac:dyDescent="0.25">
      <c r="A34" s="93" t="s">
        <v>188</v>
      </c>
      <c r="B34" s="93"/>
      <c r="C34" s="93"/>
      <c r="D34" s="93"/>
      <c r="E34" s="93"/>
      <c r="F34" s="93"/>
      <c r="G34" s="93"/>
      <c r="H34" s="93"/>
      <c r="I34" s="93"/>
    </row>
    <row r="35" spans="1:9" ht="39.6" x14ac:dyDescent="0.25">
      <c r="A35" s="33" t="s">
        <v>189</v>
      </c>
      <c r="B35" s="33" t="s">
        <v>190</v>
      </c>
      <c r="C35" s="47" t="s">
        <v>373</v>
      </c>
      <c r="D35" s="34">
        <f>IF(C35="","",SUMIFS(ParamOpcScore,ParamOpcID,$I$35,ParamOpcTexto,C35))</f>
        <v>0</v>
      </c>
      <c r="E35" s="35">
        <f>VLOOKUP(I35,PARÁMETROS!$A:$E,4,0)</f>
        <v>33.33</v>
      </c>
      <c r="F35" s="35">
        <f>VLOOKUP(I35,PARÁMETROS!$A:$E,5,0)</f>
        <v>3.3329999999999997</v>
      </c>
      <c r="G35" s="36">
        <f>IF(D35="","",D35/4*F35)</f>
        <v>0</v>
      </c>
      <c r="H35" s="37"/>
      <c r="I35" s="38" t="s">
        <v>191</v>
      </c>
    </row>
    <row r="36" spans="1:9" ht="42" customHeight="1" x14ac:dyDescent="0.25">
      <c r="A36" s="33" t="s">
        <v>192</v>
      </c>
      <c r="B36" s="33" t="s">
        <v>193</v>
      </c>
      <c r="C36" s="49">
        <f>IF(C22="","",C22)</f>
        <v>1</v>
      </c>
      <c r="D36" s="34">
        <f>IF(C22="","",IF(C22&lt;=NnaT_2,0,IF(C22=NnaT_3,1,IF(C22=NnaT_4,2,3))))</f>
        <v>0</v>
      </c>
      <c r="E36" s="35">
        <f>VLOOKUP(I36,PARÁMETROS!$A:$E,4,0)</f>
        <v>33.33</v>
      </c>
      <c r="F36" s="35">
        <f>VLOOKUP(I36,PARÁMETROS!$A:$E,5,0)</f>
        <v>3.3329999999999997</v>
      </c>
      <c r="G36" s="36">
        <f>IF(D36="","",D36/4*F36)</f>
        <v>0</v>
      </c>
      <c r="H36" s="37"/>
      <c r="I36" s="38" t="s">
        <v>194</v>
      </c>
    </row>
    <row r="37" spans="1:9" ht="36" customHeight="1" x14ac:dyDescent="0.25">
      <c r="A37" s="33" t="s">
        <v>195</v>
      </c>
      <c r="B37" s="33" t="s">
        <v>196</v>
      </c>
      <c r="C37" s="47" t="s">
        <v>375</v>
      </c>
      <c r="D37" s="34">
        <f>IF(C37="","",SUMIFS(ParamOpcScore,ParamOpcID,$I$37,ParamOpcTexto,C37))</f>
        <v>0</v>
      </c>
      <c r="E37" s="35">
        <f>VLOOKUP(I37,PARÁMETROS!$A:$E,4,0)</f>
        <v>33.33</v>
      </c>
      <c r="F37" s="35">
        <f>VLOOKUP(I37,PARÁMETROS!$A:$E,5,0)</f>
        <v>3.3329999999999997</v>
      </c>
      <c r="G37" s="36">
        <f>IF(D37="","",D37/4*F37)</f>
        <v>0</v>
      </c>
      <c r="H37" s="37"/>
      <c r="I37" s="38" t="s">
        <v>197</v>
      </c>
    </row>
    <row r="38" spans="1:9" x14ac:dyDescent="0.25">
      <c r="A38" s="92" t="s">
        <v>198</v>
      </c>
      <c r="B38" s="92"/>
      <c r="C38" s="92"/>
      <c r="D38" s="92"/>
      <c r="E38" s="92"/>
      <c r="F38" s="92"/>
      <c r="G38" s="39">
        <f>SUM(G35:G37)</f>
        <v>0</v>
      </c>
      <c r="H38" s="40"/>
    </row>
    <row r="39" spans="1:9" ht="19.5" customHeight="1" x14ac:dyDescent="0.25">
      <c r="A39" s="94" t="s">
        <v>199</v>
      </c>
      <c r="B39" s="94"/>
      <c r="C39" s="94"/>
      <c r="D39" s="94"/>
      <c r="E39" s="94"/>
      <c r="F39" s="94"/>
      <c r="G39" s="94"/>
      <c r="H39" s="94"/>
      <c r="I39" s="94"/>
    </row>
    <row r="40" spans="1:9" ht="29.4" customHeight="1" x14ac:dyDescent="0.25">
      <c r="A40" s="33" t="s">
        <v>200</v>
      </c>
      <c r="B40" s="33" t="s">
        <v>201</v>
      </c>
      <c r="C40" s="47" t="s">
        <v>378</v>
      </c>
      <c r="D40" s="34">
        <f>IF(C40="","",SUMIFS(ParamOpcScore,ParamOpcID,$I$40,ParamOpcTexto,C40))</f>
        <v>0</v>
      </c>
      <c r="E40" s="35">
        <f>VLOOKUP(I40,PARÁMETROS!$A:$E,4,0)</f>
        <v>25</v>
      </c>
      <c r="F40" s="35">
        <f>VLOOKUP(I40,PARÁMETROS!$A:$E,5,0)</f>
        <v>3.75</v>
      </c>
      <c r="G40" s="36">
        <f>IF(D40="","",D40/4*F40)</f>
        <v>0</v>
      </c>
      <c r="H40" s="37"/>
      <c r="I40" s="38" t="s">
        <v>202</v>
      </c>
    </row>
    <row r="41" spans="1:9" ht="37.200000000000003" customHeight="1" x14ac:dyDescent="0.25">
      <c r="A41" s="33" t="s">
        <v>203</v>
      </c>
      <c r="B41" s="33" t="s">
        <v>204</v>
      </c>
      <c r="C41" s="47" t="s">
        <v>380</v>
      </c>
      <c r="D41" s="34">
        <f>IF(C41="","",SUMIFS(ParamOpcScore,ParamOpcID,$I$41,ParamOpcTexto,C41))</f>
        <v>0</v>
      </c>
      <c r="E41" s="35">
        <f>VLOOKUP(I41,PARÁMETROS!$A:$E,4,0)</f>
        <v>25</v>
      </c>
      <c r="F41" s="35">
        <f>VLOOKUP(I41,PARÁMETROS!$A:$E,5,0)</f>
        <v>3.75</v>
      </c>
      <c r="G41" s="36">
        <f>IF(D41="","",D41/4*F41)</f>
        <v>0</v>
      </c>
      <c r="H41" s="37"/>
      <c r="I41" s="38" t="s">
        <v>205</v>
      </c>
    </row>
    <row r="42" spans="1:9" ht="41.4" customHeight="1" x14ac:dyDescent="0.25">
      <c r="A42" s="33" t="s">
        <v>206</v>
      </c>
      <c r="B42" s="33" t="s">
        <v>207</v>
      </c>
      <c r="C42" s="47" t="s">
        <v>382</v>
      </c>
      <c r="D42" s="34">
        <f>IF(C42="","",SUMIFS(ParamOpcScore,ParamOpcID,$I$42,ParamOpcTexto,C42))</f>
        <v>0</v>
      </c>
      <c r="E42" s="35">
        <f>VLOOKUP(I42,PARÁMETROS!$A:$E,4,0)</f>
        <v>25</v>
      </c>
      <c r="F42" s="35">
        <f>VLOOKUP(I42,PARÁMETROS!$A:$E,5,0)</f>
        <v>3.75</v>
      </c>
      <c r="G42" s="36">
        <f>IF(D42="","",D42/4*F42)</f>
        <v>0</v>
      </c>
      <c r="H42" s="37"/>
      <c r="I42" s="38" t="s">
        <v>208</v>
      </c>
    </row>
    <row r="43" spans="1:9" ht="28.8" customHeight="1" x14ac:dyDescent="0.25">
      <c r="A43" s="33" t="s">
        <v>209</v>
      </c>
      <c r="B43" s="33" t="s">
        <v>210</v>
      </c>
      <c r="C43" s="47" t="s">
        <v>385</v>
      </c>
      <c r="D43" s="34">
        <f>IF(C43="","",SUMIFS(ParamOpcScore,ParamOpcID,$I$43,ParamOpcTexto,C43))</f>
        <v>1</v>
      </c>
      <c r="E43" s="35">
        <f>VLOOKUP(I43,PARÁMETROS!$A:$E,4,0)</f>
        <v>25</v>
      </c>
      <c r="F43" s="35">
        <f>VLOOKUP(I43,PARÁMETROS!$A:$E,5,0)</f>
        <v>3.75</v>
      </c>
      <c r="G43" s="36">
        <f>IF(D43="","",D43/4*F43)</f>
        <v>0.9375</v>
      </c>
      <c r="H43" s="37"/>
      <c r="I43" s="38" t="s">
        <v>211</v>
      </c>
    </row>
    <row r="44" spans="1:9" x14ac:dyDescent="0.25">
      <c r="A44" s="92" t="s">
        <v>212</v>
      </c>
      <c r="B44" s="92"/>
      <c r="C44" s="92"/>
      <c r="D44" s="92"/>
      <c r="E44" s="92"/>
      <c r="F44" s="92"/>
      <c r="G44" s="39">
        <f>SUM(G40:G43)</f>
        <v>0.9375</v>
      </c>
      <c r="H44" s="40"/>
    </row>
    <row r="45" spans="1:9" ht="19.5" customHeight="1" x14ac:dyDescent="0.25">
      <c r="A45" s="95" t="s">
        <v>213</v>
      </c>
      <c r="B45" s="95"/>
      <c r="C45" s="95"/>
      <c r="D45" s="95"/>
      <c r="E45" s="95"/>
      <c r="F45" s="95"/>
      <c r="G45" s="95"/>
      <c r="H45" s="95"/>
      <c r="I45" s="95"/>
    </row>
    <row r="46" spans="1:9" ht="41.4" x14ac:dyDescent="0.25">
      <c r="A46" s="33" t="s">
        <v>214</v>
      </c>
      <c r="B46" s="33" t="s">
        <v>215</v>
      </c>
      <c r="C46" s="47" t="s">
        <v>591</v>
      </c>
      <c r="D46" s="34">
        <f>IF(C46="","",SUMIFS(ParamOpcScore,ParamOpcID,$I$46,ParamOpcTexto,C46))</f>
        <v>0</v>
      </c>
      <c r="E46" s="35">
        <f>VLOOKUP(I46,PARÁMETROS!$A:$E,4,0)</f>
        <v>20</v>
      </c>
      <c r="F46" s="35">
        <f>VLOOKUP(I46,PARÁMETROS!$A:$E,5,0)</f>
        <v>4</v>
      </c>
      <c r="G46" s="36">
        <f>IF(D46="","",D46/4*F46)</f>
        <v>0</v>
      </c>
      <c r="H46" s="37"/>
      <c r="I46" s="38" t="s">
        <v>216</v>
      </c>
    </row>
    <row r="47" spans="1:9" ht="41.4" x14ac:dyDescent="0.25">
      <c r="A47" s="33" t="s">
        <v>217</v>
      </c>
      <c r="B47" s="33" t="s">
        <v>218</v>
      </c>
      <c r="C47" s="47" t="s">
        <v>388</v>
      </c>
      <c r="D47" s="34">
        <f>IF(C47="","",SUMIFS(ParamOpcScore,ParamOpcID,$I$47,ParamOpcTexto,C47))</f>
        <v>0</v>
      </c>
      <c r="E47" s="35">
        <f>VLOOKUP(I47,PARÁMETROS!$A:$E,4,0)</f>
        <v>20</v>
      </c>
      <c r="F47" s="35">
        <f>VLOOKUP(I47,PARÁMETROS!$A:$E,5,0)</f>
        <v>4</v>
      </c>
      <c r="G47" s="36">
        <f>IF(D47="","",D47/4*F47)</f>
        <v>0</v>
      </c>
      <c r="H47" s="37"/>
      <c r="I47" s="38" t="s">
        <v>219</v>
      </c>
    </row>
    <row r="48" spans="1:9" ht="33" customHeight="1" x14ac:dyDescent="0.25">
      <c r="A48" s="33" t="s">
        <v>220</v>
      </c>
      <c r="B48" s="33" t="s">
        <v>221</v>
      </c>
      <c r="C48" s="47" t="s">
        <v>391</v>
      </c>
      <c r="D48" s="34">
        <f>IF(C48="","",SUMIFS(ParamOpcScore,ParamOpcID,$I$48,ParamOpcTexto,C48))</f>
        <v>0</v>
      </c>
      <c r="E48" s="35">
        <f>VLOOKUP(I48,PARÁMETROS!$A:$E,4,0)</f>
        <v>20</v>
      </c>
      <c r="F48" s="35">
        <f>VLOOKUP(I48,PARÁMETROS!$A:$E,5,0)</f>
        <v>4</v>
      </c>
      <c r="G48" s="36">
        <f>IF(D48="","",D48/4*F48)</f>
        <v>0</v>
      </c>
      <c r="H48" s="37"/>
      <c r="I48" s="38" t="s">
        <v>222</v>
      </c>
    </row>
    <row r="49" spans="1:9" ht="27.6" x14ac:dyDescent="0.25">
      <c r="A49" s="33" t="s">
        <v>223</v>
      </c>
      <c r="B49" s="33" t="s">
        <v>224</v>
      </c>
      <c r="C49" s="47" t="s">
        <v>395</v>
      </c>
      <c r="D49" s="34">
        <f>IF(C49="","",SUMIFS(ParamOpcScore,ParamOpcID,$I$49,ParamOpcTexto,C49))</f>
        <v>0</v>
      </c>
      <c r="E49" s="35">
        <f>VLOOKUP(I49,PARÁMETROS!$A:$E,4,0)</f>
        <v>20</v>
      </c>
      <c r="F49" s="35">
        <f>VLOOKUP(I49,PARÁMETROS!$A:$E,5,0)</f>
        <v>4</v>
      </c>
      <c r="G49" s="36">
        <f>IF(D49="","",D49/4*F49)</f>
        <v>0</v>
      </c>
      <c r="H49" s="37"/>
      <c r="I49" s="38" t="s">
        <v>225</v>
      </c>
    </row>
    <row r="50" spans="1:9" ht="27.6" x14ac:dyDescent="0.25">
      <c r="A50" s="33" t="s">
        <v>226</v>
      </c>
      <c r="B50" s="33" t="s">
        <v>227</v>
      </c>
      <c r="C50" s="47" t="s">
        <v>398</v>
      </c>
      <c r="D50" s="34">
        <f>IF(C50="","",SUMIFS(ParamOpcScore,ParamOpcID,$I$50,ParamOpcTexto,C50))</f>
        <v>0</v>
      </c>
      <c r="E50" s="35">
        <f>VLOOKUP(I50,PARÁMETROS!$A:$E,4,0)</f>
        <v>20</v>
      </c>
      <c r="F50" s="35">
        <f>VLOOKUP(I50,PARÁMETROS!$A:$E,5,0)</f>
        <v>4</v>
      </c>
      <c r="G50" s="36">
        <f>IF(D50="","",D50/4*F50)</f>
        <v>0</v>
      </c>
      <c r="H50" s="37"/>
      <c r="I50" s="38" t="s">
        <v>228</v>
      </c>
    </row>
    <row r="51" spans="1:9" x14ac:dyDescent="0.25">
      <c r="A51" s="92" t="s">
        <v>229</v>
      </c>
      <c r="B51" s="92"/>
      <c r="C51" s="92"/>
      <c r="D51" s="92"/>
      <c r="E51" s="92"/>
      <c r="F51" s="92"/>
      <c r="G51" s="39">
        <f>SUM(G46:G50)</f>
        <v>0</v>
      </c>
      <c r="H51" s="40"/>
    </row>
    <row r="52" spans="1:9" ht="19.5" customHeight="1" x14ac:dyDescent="0.25">
      <c r="A52" s="96" t="s">
        <v>230</v>
      </c>
      <c r="B52" s="96"/>
      <c r="C52" s="96"/>
      <c r="D52" s="96"/>
      <c r="E52" s="96"/>
      <c r="F52" s="96"/>
      <c r="G52" s="96"/>
      <c r="H52" s="96"/>
      <c r="I52" s="96"/>
    </row>
    <row r="53" spans="1:9" ht="30" customHeight="1" x14ac:dyDescent="0.25">
      <c r="A53" s="33" t="s">
        <v>231</v>
      </c>
      <c r="B53" s="33" t="s">
        <v>232</v>
      </c>
      <c r="C53" s="47" t="s">
        <v>403</v>
      </c>
      <c r="D53" s="34">
        <f>IF(C53="","",SUMIFS(ParamOpcScore,ParamOpcID,$I$53,ParamOpcTexto,C53))</f>
        <v>2</v>
      </c>
      <c r="E53" s="35">
        <f>VLOOKUP(I53,PARÁMETROS!$A:$E,4,0)</f>
        <v>25</v>
      </c>
      <c r="F53" s="35">
        <f>VLOOKUP(I53,PARÁMETROS!$A:$E,5,0)</f>
        <v>2.5</v>
      </c>
      <c r="G53" s="36">
        <f>IF(D53="","",D53/4*F53)</f>
        <v>1.25</v>
      </c>
      <c r="H53" s="37"/>
      <c r="I53" s="38" t="s">
        <v>233</v>
      </c>
    </row>
    <row r="54" spans="1:9" ht="28.8" customHeight="1" x14ac:dyDescent="0.25">
      <c r="A54" s="33" t="s">
        <v>234</v>
      </c>
      <c r="B54" s="33" t="s">
        <v>235</v>
      </c>
      <c r="C54" s="48">
        <f>IF(OR(C20="",C23=""),"",C20/MAX(C23,1))</f>
        <v>1</v>
      </c>
      <c r="D54" s="34">
        <f>IF(OR(C20="",C23=""),"",IF((C20/MAX(C23,1))&lt;=HacT_2,0,IF((C20/MAX(C23,1))&lt;=HacT_3,2,4)))</f>
        <v>0</v>
      </c>
      <c r="E54" s="35">
        <f>VLOOKUP(I54,PARÁMETROS!$A:$E,4,0)</f>
        <v>25</v>
      </c>
      <c r="F54" s="35">
        <f>VLOOKUP(I54,PARÁMETROS!$A:$E,5,0)</f>
        <v>2.5</v>
      </c>
      <c r="G54" s="36">
        <f>IF(D54="","",D54/4*F54)</f>
        <v>0</v>
      </c>
      <c r="H54" s="37"/>
      <c r="I54" s="38" t="s">
        <v>236</v>
      </c>
    </row>
    <row r="55" spans="1:9" ht="30" customHeight="1" x14ac:dyDescent="0.25">
      <c r="A55" s="33" t="s">
        <v>237</v>
      </c>
      <c r="B55" s="33" t="s">
        <v>238</v>
      </c>
      <c r="C55" s="47" t="s">
        <v>405</v>
      </c>
      <c r="D55" s="34">
        <f>IF(C55="","",SUMIFS(ParamOpcScore,ParamOpcID,$I$55,ParamOpcTexto,C55))</f>
        <v>2</v>
      </c>
      <c r="E55" s="35">
        <f>VLOOKUP(I55,PARÁMETROS!$A:$E,4,0)</f>
        <v>25</v>
      </c>
      <c r="F55" s="35">
        <f>VLOOKUP(I55,PARÁMETROS!$A:$E,5,0)</f>
        <v>2.5</v>
      </c>
      <c r="G55" s="36">
        <f>IF(D55="","",D55/4*F55)</f>
        <v>1.25</v>
      </c>
      <c r="H55" s="37"/>
      <c r="I55" s="38" t="s">
        <v>239</v>
      </c>
    </row>
    <row r="56" spans="1:9" ht="31.8" customHeight="1" x14ac:dyDescent="0.25">
      <c r="A56" s="33" t="s">
        <v>240</v>
      </c>
      <c r="B56" s="33" t="s">
        <v>241</v>
      </c>
      <c r="C56" s="47" t="s">
        <v>408</v>
      </c>
      <c r="D56" s="34">
        <f>IF(C56="","",SUMIFS(ParamOpcScore,ParamOpcID,$I$56,ParamOpcTexto,C56))</f>
        <v>2</v>
      </c>
      <c r="E56" s="35">
        <f>VLOOKUP(I56,PARÁMETROS!$A:$E,4,0)</f>
        <v>25</v>
      </c>
      <c r="F56" s="35">
        <f>VLOOKUP(I56,PARÁMETROS!$A:$E,5,0)</f>
        <v>2.5</v>
      </c>
      <c r="G56" s="36">
        <f>IF(D56="","",D56/4*F56)</f>
        <v>1.25</v>
      </c>
      <c r="H56" s="37"/>
      <c r="I56" s="38" t="s">
        <v>242</v>
      </c>
    </row>
    <row r="57" spans="1:9" x14ac:dyDescent="0.25">
      <c r="A57" s="92" t="s">
        <v>243</v>
      </c>
      <c r="B57" s="92"/>
      <c r="C57" s="92"/>
      <c r="D57" s="92"/>
      <c r="E57" s="92"/>
      <c r="F57" s="92"/>
      <c r="G57" s="39">
        <f>SUM(G53:G56)</f>
        <v>3.75</v>
      </c>
      <c r="H57" s="40"/>
    </row>
    <row r="58" spans="1:9" ht="19.5" customHeight="1" x14ac:dyDescent="0.25">
      <c r="A58" s="97" t="s">
        <v>244</v>
      </c>
      <c r="B58" s="97"/>
      <c r="C58" s="97"/>
      <c r="D58" s="97"/>
      <c r="E58" s="97"/>
      <c r="F58" s="97"/>
      <c r="G58" s="97"/>
      <c r="H58" s="97"/>
      <c r="I58" s="97"/>
    </row>
    <row r="59" spans="1:9" ht="41.4" x14ac:dyDescent="0.25">
      <c r="A59" s="33" t="s">
        <v>245</v>
      </c>
      <c r="B59" s="33" t="s">
        <v>246</v>
      </c>
      <c r="C59" s="47" t="s">
        <v>409</v>
      </c>
      <c r="D59" s="34">
        <f>IF(C59="","",SUMIFS(ParamOpcScore,ParamOpcID,$I$59,ParamOpcTexto,C59))</f>
        <v>0</v>
      </c>
      <c r="E59" s="35">
        <f>VLOOKUP(I59,PARÁMETROS!$A:$E,4,0)</f>
        <v>25</v>
      </c>
      <c r="F59" s="35">
        <f>VLOOKUP(I59,PARÁMETROS!$A:$E,5,0)</f>
        <v>2.5</v>
      </c>
      <c r="G59" s="36">
        <f>IF(D59="","",D59/4*F59)</f>
        <v>0</v>
      </c>
      <c r="H59" s="37"/>
      <c r="I59" s="38" t="s">
        <v>247</v>
      </c>
    </row>
    <row r="60" spans="1:9" ht="41.4" x14ac:dyDescent="0.25">
      <c r="A60" s="33" t="s">
        <v>248</v>
      </c>
      <c r="B60" s="33" t="s">
        <v>249</v>
      </c>
      <c r="C60" s="47" t="s">
        <v>411</v>
      </c>
      <c r="D60" s="34">
        <f>IF(C60="","",SUMIFS(ParamOpcScore,ParamOpcID,$I$60,ParamOpcTexto,C60))</f>
        <v>2</v>
      </c>
      <c r="E60" s="35">
        <f>VLOOKUP(I60,PARÁMETROS!$A:$E,4,0)</f>
        <v>25</v>
      </c>
      <c r="F60" s="35">
        <f>VLOOKUP(I60,PARÁMETROS!$A:$E,5,0)</f>
        <v>2.5</v>
      </c>
      <c r="G60" s="36">
        <f>IF(D60="","",D60/4*F60)</f>
        <v>1.25</v>
      </c>
      <c r="H60" s="37"/>
      <c r="I60" s="38" t="s">
        <v>250</v>
      </c>
    </row>
    <row r="61" spans="1:9" ht="41.4" x14ac:dyDescent="0.25">
      <c r="A61" s="33" t="s">
        <v>251</v>
      </c>
      <c r="B61" s="33" t="s">
        <v>252</v>
      </c>
      <c r="C61" s="47" t="s">
        <v>413</v>
      </c>
      <c r="D61" s="34">
        <f>IF(C61="","",SUMIFS(ParamOpcScore,ParamOpcID,$I$61,ParamOpcTexto,C61))</f>
        <v>0</v>
      </c>
      <c r="E61" s="35">
        <f>VLOOKUP(I61,PARÁMETROS!$A:$E,4,0)</f>
        <v>25</v>
      </c>
      <c r="F61" s="35">
        <f>VLOOKUP(I61,PARÁMETROS!$A:$E,5,0)</f>
        <v>2.5</v>
      </c>
      <c r="G61" s="36">
        <f>IF(D61="","",D61/4*F61)</f>
        <v>0</v>
      </c>
      <c r="H61" s="37"/>
      <c r="I61" s="38" t="s">
        <v>253</v>
      </c>
    </row>
    <row r="62" spans="1:9" ht="30" customHeight="1" x14ac:dyDescent="0.25">
      <c r="A62" s="33" t="s">
        <v>254</v>
      </c>
      <c r="B62" s="33" t="s">
        <v>255</v>
      </c>
      <c r="C62" s="47" t="s">
        <v>416</v>
      </c>
      <c r="D62" s="34">
        <f>IF(C62="","",SUMIFS(ParamOpcScore,ParamOpcID,$I$62,ParamOpcTexto,C62))</f>
        <v>4</v>
      </c>
      <c r="E62" s="35">
        <f>VLOOKUP(I62,PARÁMETROS!$A:$E,4,0)</f>
        <v>25</v>
      </c>
      <c r="F62" s="35">
        <f>VLOOKUP(I62,PARÁMETROS!$A:$E,5,0)</f>
        <v>2.5</v>
      </c>
      <c r="G62" s="36">
        <f>IF(D62="","",D62/4*F62)</f>
        <v>2.5</v>
      </c>
      <c r="H62" s="37"/>
      <c r="I62" s="38" t="s">
        <v>256</v>
      </c>
    </row>
    <row r="63" spans="1:9" x14ac:dyDescent="0.25">
      <c r="A63" s="92" t="s">
        <v>257</v>
      </c>
      <c r="B63" s="92"/>
      <c r="C63" s="92"/>
      <c r="D63" s="92"/>
      <c r="E63" s="92"/>
      <c r="F63" s="92"/>
      <c r="G63" s="39">
        <f>SUM(G59:G62)</f>
        <v>3.75</v>
      </c>
      <c r="H63" s="40"/>
    </row>
    <row r="64" spans="1:9" ht="19.5" customHeight="1" x14ac:dyDescent="0.25">
      <c r="A64" s="98" t="s">
        <v>258</v>
      </c>
      <c r="B64" s="98"/>
      <c r="C64" s="98"/>
      <c r="D64" s="98"/>
      <c r="E64" s="98"/>
      <c r="F64" s="98"/>
      <c r="G64" s="98"/>
      <c r="H64" s="98"/>
      <c r="I64" s="98"/>
    </row>
    <row r="65" spans="1:9" ht="33.6" customHeight="1" x14ac:dyDescent="0.25">
      <c r="A65" s="33" t="s">
        <v>259</v>
      </c>
      <c r="B65" s="33" t="s">
        <v>260</v>
      </c>
      <c r="C65" s="47" t="s">
        <v>417</v>
      </c>
      <c r="D65" s="34">
        <f>IF(C65="","",SUMIFS(ParamOpcScore,ParamOpcID,$I$65,ParamOpcTexto,C65))</f>
        <v>0</v>
      </c>
      <c r="E65" s="35">
        <f>VLOOKUP(I65,PARÁMETROS!$A:$E,4,0)</f>
        <v>20</v>
      </c>
      <c r="F65" s="35">
        <f>VLOOKUP(I65,PARÁMETROS!$A:$E,5,0)</f>
        <v>2</v>
      </c>
      <c r="G65" s="36">
        <f>IF(D65="","",D65/4*F65)</f>
        <v>0</v>
      </c>
      <c r="H65" s="37"/>
      <c r="I65" s="38" t="s">
        <v>261</v>
      </c>
    </row>
    <row r="66" spans="1:9" ht="31.8" customHeight="1" x14ac:dyDescent="0.25">
      <c r="A66" s="33" t="s">
        <v>262</v>
      </c>
      <c r="B66" s="33" t="s">
        <v>263</v>
      </c>
      <c r="C66" s="47" t="s">
        <v>418</v>
      </c>
      <c r="D66" s="34">
        <f>IF(C66="","",SUMIFS(ParamOpcScore,ParamOpcID,$I$66,ParamOpcTexto,C66))</f>
        <v>2</v>
      </c>
      <c r="E66" s="35">
        <f>VLOOKUP(I66,PARÁMETROS!$A:$E,4,0)</f>
        <v>20</v>
      </c>
      <c r="F66" s="35">
        <f>VLOOKUP(I66,PARÁMETROS!$A:$E,5,0)</f>
        <v>2</v>
      </c>
      <c r="G66" s="36">
        <f>IF(D66="","",D66/4*F66)</f>
        <v>1</v>
      </c>
      <c r="H66" s="37"/>
      <c r="I66" s="38" t="s">
        <v>264</v>
      </c>
    </row>
    <row r="67" spans="1:9" ht="40.799999999999997" customHeight="1" x14ac:dyDescent="0.25">
      <c r="A67" s="33" t="s">
        <v>265</v>
      </c>
      <c r="B67" s="33" t="s">
        <v>266</v>
      </c>
      <c r="C67" s="47" t="s">
        <v>420</v>
      </c>
      <c r="D67" s="34">
        <f>IF(C67="","",SUMIFS(ParamOpcScore,ParamOpcID,$I$67,ParamOpcTexto,C67))</f>
        <v>0</v>
      </c>
      <c r="E67" s="35">
        <f>VLOOKUP(I67,PARÁMETROS!$A:$E,4,0)</f>
        <v>20</v>
      </c>
      <c r="F67" s="35">
        <f>VLOOKUP(I67,PARÁMETROS!$A:$E,5,0)</f>
        <v>2</v>
      </c>
      <c r="G67" s="36">
        <f>IF(D67="","",D67/4*F67)</f>
        <v>0</v>
      </c>
      <c r="H67" s="37"/>
      <c r="I67" s="38" t="s">
        <v>267</v>
      </c>
    </row>
    <row r="68" spans="1:9" ht="42.6" customHeight="1" x14ac:dyDescent="0.25">
      <c r="A68" s="33" t="s">
        <v>268</v>
      </c>
      <c r="B68" s="33" t="s">
        <v>269</v>
      </c>
      <c r="C68" s="47" t="s">
        <v>413</v>
      </c>
      <c r="D68" s="34">
        <f>IF(C68="","",SUMIFS(ParamOpcScore,ParamOpcID,$I$68,ParamOpcTexto,C68))</f>
        <v>0</v>
      </c>
      <c r="E68" s="35">
        <f>VLOOKUP(I68,PARÁMETROS!$A:$E,4,0)</f>
        <v>20</v>
      </c>
      <c r="F68" s="35">
        <f>VLOOKUP(I68,PARÁMETROS!$A:$E,5,0)</f>
        <v>2</v>
      </c>
      <c r="G68" s="36">
        <f>IF(D68="","",D68/4*F68)</f>
        <v>0</v>
      </c>
      <c r="H68" s="37"/>
      <c r="I68" s="38" t="s">
        <v>270</v>
      </c>
    </row>
    <row r="69" spans="1:9" ht="31.2" customHeight="1" x14ac:dyDescent="0.25">
      <c r="A69" s="33" t="s">
        <v>271</v>
      </c>
      <c r="B69" s="33" t="s">
        <v>272</v>
      </c>
      <c r="C69" s="47" t="s">
        <v>423</v>
      </c>
      <c r="D69" s="34">
        <f>IF(C69="","",SUMIFS(ParamOpcScore,ParamOpcID,$I$69,ParamOpcTexto,C69))</f>
        <v>0</v>
      </c>
      <c r="E69" s="35">
        <f>VLOOKUP(I69,PARÁMETROS!$A:$E,4,0)</f>
        <v>20</v>
      </c>
      <c r="F69" s="35">
        <f>VLOOKUP(I69,PARÁMETROS!$A:$E,5,0)</f>
        <v>2</v>
      </c>
      <c r="G69" s="36">
        <f>IF(D69="","",D69/4*F69)</f>
        <v>0</v>
      </c>
      <c r="H69" s="37"/>
      <c r="I69" s="38" t="s">
        <v>273</v>
      </c>
    </row>
    <row r="70" spans="1:9" x14ac:dyDescent="0.25">
      <c r="A70" s="92" t="s">
        <v>274</v>
      </c>
      <c r="B70" s="92"/>
      <c r="C70" s="92"/>
      <c r="D70" s="92"/>
      <c r="E70" s="92"/>
      <c r="F70" s="92"/>
      <c r="G70" s="39">
        <f>SUM(G65:G69)</f>
        <v>1</v>
      </c>
      <c r="H70" s="40"/>
    </row>
    <row r="71" spans="1:9" ht="19.5" customHeight="1" x14ac:dyDescent="0.25">
      <c r="A71" s="99" t="s">
        <v>275</v>
      </c>
      <c r="B71" s="99"/>
      <c r="C71" s="99"/>
      <c r="D71" s="99"/>
      <c r="E71" s="99"/>
      <c r="F71" s="99"/>
      <c r="G71" s="99"/>
      <c r="H71" s="99"/>
      <c r="I71" s="99"/>
    </row>
    <row r="72" spans="1:9" ht="42.6" customHeight="1" x14ac:dyDescent="0.25">
      <c r="A72" s="33" t="s">
        <v>276</v>
      </c>
      <c r="B72" s="33" t="s">
        <v>277</v>
      </c>
      <c r="C72" s="47" t="s">
        <v>425</v>
      </c>
      <c r="D72" s="34">
        <f>IF(C72="","",SUMIFS(ParamOpcScore,ParamOpcID,$I$72,ParamOpcTexto,C72))</f>
        <v>4</v>
      </c>
      <c r="E72" s="35">
        <f>VLOOKUP(I72,PARÁMETROS!$A:$E,4,0)</f>
        <v>33.33</v>
      </c>
      <c r="F72" s="35">
        <f>VLOOKUP(I72,PARÁMETROS!$A:$E,5,0)</f>
        <v>1.6664999999999999</v>
      </c>
      <c r="G72" s="36">
        <f>IF(D72="","",D72/4*F72)</f>
        <v>1.6664999999999999</v>
      </c>
      <c r="H72" s="37"/>
      <c r="I72" s="38" t="s">
        <v>278</v>
      </c>
    </row>
    <row r="73" spans="1:9" ht="28.8" customHeight="1" x14ac:dyDescent="0.25">
      <c r="A73" s="33" t="s">
        <v>279</v>
      </c>
      <c r="B73" s="33" t="s">
        <v>280</v>
      </c>
      <c r="C73" s="47" t="s">
        <v>428</v>
      </c>
      <c r="D73" s="34">
        <f>IF(C73="","",SUMIFS(ParamOpcScore,ParamOpcID,$I$73,ParamOpcTexto,C73))</f>
        <v>4</v>
      </c>
      <c r="E73" s="35">
        <f>VLOOKUP(I73,PARÁMETROS!$A:$E,4,0)</f>
        <v>33.33</v>
      </c>
      <c r="F73" s="35">
        <f>VLOOKUP(I73,PARÁMETROS!$A:$E,5,0)</f>
        <v>1.6664999999999999</v>
      </c>
      <c r="G73" s="36">
        <f>IF(D73="","",D73/4*F73)</f>
        <v>1.6664999999999999</v>
      </c>
      <c r="H73" s="37"/>
      <c r="I73" s="38" t="s">
        <v>281</v>
      </c>
    </row>
    <row r="74" spans="1:9" ht="36" customHeight="1" x14ac:dyDescent="0.25">
      <c r="A74" s="33" t="s">
        <v>282</v>
      </c>
      <c r="B74" s="33" t="s">
        <v>283</v>
      </c>
      <c r="C74" s="47" t="s">
        <v>431</v>
      </c>
      <c r="D74" s="34">
        <f>IF(C74="","",SUMIFS(ParamOpcScore,ParamOpcID,$I$74,ParamOpcTexto,C74))</f>
        <v>4</v>
      </c>
      <c r="E74" s="35">
        <f>VLOOKUP(I74,PARÁMETROS!$A:$E,4,0)</f>
        <v>33.33</v>
      </c>
      <c r="F74" s="35">
        <f>VLOOKUP(I74,PARÁMETROS!$A:$E,5,0)</f>
        <v>1.6664999999999999</v>
      </c>
      <c r="G74" s="36">
        <f>IF(D74="","",D74/4*F74)</f>
        <v>1.6664999999999999</v>
      </c>
      <c r="H74" s="37"/>
      <c r="I74" s="38" t="s">
        <v>284</v>
      </c>
    </row>
    <row r="75" spans="1:9" x14ac:dyDescent="0.25">
      <c r="A75" s="92" t="s">
        <v>285</v>
      </c>
      <c r="B75" s="92"/>
      <c r="C75" s="92"/>
      <c r="D75" s="92"/>
      <c r="E75" s="92"/>
      <c r="F75" s="92"/>
      <c r="G75" s="39">
        <f>SUM(G72:G74)</f>
        <v>4.9994999999999994</v>
      </c>
      <c r="H75" s="40"/>
    </row>
    <row r="77" spans="1:9" ht="19.5" customHeight="1" x14ac:dyDescent="0.25">
      <c r="A77" s="63" t="s">
        <v>286</v>
      </c>
      <c r="B77" s="63"/>
      <c r="C77" s="63"/>
      <c r="D77" s="63"/>
      <c r="E77" s="63"/>
      <c r="F77" s="63"/>
      <c r="G77" s="63"/>
      <c r="H77" s="63"/>
      <c r="I77" s="63"/>
    </row>
    <row r="78" spans="1:9" ht="12.6" customHeight="1" x14ac:dyDescent="0.25">
      <c r="A78" s="100" t="s">
        <v>287</v>
      </c>
      <c r="B78" s="100"/>
      <c r="C78" s="100"/>
      <c r="D78" s="100"/>
      <c r="E78" s="100"/>
      <c r="F78" s="101">
        <f>G33+G38+G44+G51+G57+G63+G70+G75</f>
        <v>16.436999999999998</v>
      </c>
      <c r="G78" s="101"/>
    </row>
    <row r="79" spans="1:9" ht="12.6" customHeight="1" x14ac:dyDescent="0.25">
      <c r="A79" s="100" t="s">
        <v>288</v>
      </c>
      <c r="B79" s="100"/>
      <c r="C79" s="100"/>
      <c r="D79" s="100"/>
      <c r="E79" s="100"/>
      <c r="F79" s="102">
        <f>F78/100</f>
        <v>0.16436999999999999</v>
      </c>
      <c r="G79" s="102"/>
    </row>
    <row r="80" spans="1:9" ht="12.6" customHeight="1" x14ac:dyDescent="0.25">
      <c r="A80" s="100" t="s">
        <v>289</v>
      </c>
      <c r="B80" s="100"/>
      <c r="C80" s="100"/>
      <c r="D80" s="100"/>
      <c r="E80" s="100"/>
      <c r="F80" s="103" t="str">
        <f>INDEX(ParamRangoNivel,MATCH(F78,ParamRangoDesde,1))</f>
        <v>Vulnerabilidad muy baja</v>
      </c>
      <c r="G80" s="103"/>
    </row>
    <row r="81" spans="1:9" ht="12.6" customHeight="1" x14ac:dyDescent="0.25">
      <c r="A81" s="100" t="s">
        <v>290</v>
      </c>
      <c r="B81" s="100"/>
      <c r="C81" s="100"/>
      <c r="D81" s="100"/>
      <c r="E81" s="100"/>
      <c r="F81" s="104" t="str">
        <f>INDEX(ParamRangoSemaforo,MATCH(F78,ParamRangoDesde,1))</f>
        <v>VERDE</v>
      </c>
      <c r="G81" s="104"/>
    </row>
    <row r="82" spans="1:9" ht="12.6" customHeight="1" x14ac:dyDescent="0.25">
      <c r="A82" s="105" t="s">
        <v>291</v>
      </c>
      <c r="B82" s="105"/>
      <c r="C82" s="105"/>
      <c r="D82" s="105"/>
      <c r="E82" s="105"/>
      <c r="F82" s="106" t="str">
        <f>IF((--(D65&gt;=3)+--(D66&gt;=3)+--(D67&gt;=3)+--(D68&gt;=3)+--(D69&gt;=3))&gt;0,"SÍ — REQUIERE REVISIÓN PROFESIONAL / PROTECCIÓN","NO")</f>
        <v>NO</v>
      </c>
      <c r="G82" s="106"/>
    </row>
    <row r="83" spans="1:9" ht="12.6" customHeight="1" x14ac:dyDescent="0.25">
      <c r="A83" s="100" t="s">
        <v>292</v>
      </c>
      <c r="B83" s="100"/>
      <c r="C83" s="100"/>
      <c r="D83" s="100"/>
      <c r="E83" s="100"/>
      <c r="F83" s="104" t="str">
        <f>IF(F82&lt;&gt;"NO","PRIORIDAD 1",INDEX(ParamPrioNombre,MATCH(F78,ParamPrioDesde,1)))</f>
        <v>PRIORIDAD 3</v>
      </c>
      <c r="G83" s="104"/>
    </row>
    <row r="84" spans="1:9" ht="12.6" customHeight="1" x14ac:dyDescent="0.25">
      <c r="A84" s="100" t="s">
        <v>293</v>
      </c>
      <c r="B84" s="100"/>
      <c r="C84" s="100"/>
      <c r="D84" s="100"/>
      <c r="E84" s="100"/>
      <c r="F84" s="104" t="str">
        <f>IF((G51/VLOOKUP("D4",PARÁMETROS!$A:$F,6,0)*100)&gt;=60,"ALTA",IF((G51/VLOOKUP("D4",PARÁMETROS!$A:$F,6,0)*100)&gt;=30,"MEDIA","BAJA"))</f>
        <v>BAJA</v>
      </c>
      <c r="G84" s="104"/>
    </row>
    <row r="86" spans="1:9" ht="19.5" customHeight="1" x14ac:dyDescent="0.25">
      <c r="A86" s="63" t="s">
        <v>294</v>
      </c>
      <c r="B86" s="63"/>
      <c r="C86" s="63"/>
      <c r="D86" s="63"/>
      <c r="E86" s="63"/>
      <c r="F86" s="63"/>
      <c r="G86" s="63"/>
      <c r="H86" s="63"/>
      <c r="I86" s="63"/>
    </row>
    <row r="87" spans="1:9" ht="27.75" customHeight="1" x14ac:dyDescent="0.25">
      <c r="A87" s="32" t="s">
        <v>295</v>
      </c>
      <c r="B87" s="32" t="s">
        <v>296</v>
      </c>
      <c r="C87" s="32"/>
      <c r="D87" s="32"/>
      <c r="E87" s="32"/>
      <c r="F87" s="32"/>
      <c r="G87" s="32"/>
      <c r="H87" s="32"/>
    </row>
    <row r="88" spans="1:9" ht="15" customHeight="1" x14ac:dyDescent="0.25">
      <c r="A88" s="107" t="s">
        <v>297</v>
      </c>
      <c r="B88" s="107"/>
      <c r="C88" s="107"/>
      <c r="D88" s="107"/>
      <c r="E88" s="107"/>
      <c r="F88" s="107"/>
      <c r="G88" s="88" t="str">
        <f>IF(F82&lt;&gt;"NO","SÍ","NO")</f>
        <v>NO</v>
      </c>
      <c r="H88" s="88"/>
      <c r="I88" s="88"/>
    </row>
    <row r="89" spans="1:9" ht="15" customHeight="1" x14ac:dyDescent="0.25">
      <c r="A89" s="107" t="s">
        <v>298</v>
      </c>
      <c r="B89" s="107"/>
      <c r="C89" s="107"/>
      <c r="D89" s="107"/>
      <c r="E89" s="107"/>
      <c r="F89" s="107"/>
      <c r="G89" s="88" t="str">
        <f>IF(D46&gt;=4,"SÍ","NO")</f>
        <v>NO</v>
      </c>
      <c r="H89" s="88"/>
      <c r="I89" s="88"/>
    </row>
    <row r="90" spans="1:9" ht="15" customHeight="1" x14ac:dyDescent="0.25">
      <c r="A90" s="107" t="s">
        <v>299</v>
      </c>
      <c r="B90" s="107"/>
      <c r="C90" s="107"/>
      <c r="D90" s="107"/>
      <c r="E90" s="107"/>
      <c r="F90" s="107"/>
      <c r="G90" s="88" t="str">
        <f>IF(D35&gt;=3,"SÍ","NO")</f>
        <v>NO</v>
      </c>
      <c r="H90" s="88"/>
      <c r="I90" s="88"/>
    </row>
    <row r="91" spans="1:9" ht="15" customHeight="1" x14ac:dyDescent="0.25">
      <c r="A91" s="107" t="s">
        <v>300</v>
      </c>
      <c r="B91" s="107"/>
      <c r="C91" s="107"/>
      <c r="D91" s="107"/>
      <c r="E91" s="107"/>
      <c r="F91" s="107"/>
      <c r="G91" s="88" t="str">
        <f>IF(OR(D29&gt;=3,D40=3),"SÍ","NO")</f>
        <v>NO</v>
      </c>
      <c r="H91" s="88"/>
      <c r="I91" s="88"/>
    </row>
    <row r="92" spans="1:9" ht="15" customHeight="1" x14ac:dyDescent="0.25">
      <c r="A92" s="107" t="s">
        <v>301</v>
      </c>
      <c r="B92" s="107"/>
      <c r="C92" s="107"/>
      <c r="D92" s="107"/>
      <c r="E92" s="107"/>
      <c r="F92" s="107"/>
      <c r="G92" s="88" t="str">
        <f>IF(D54&gt;=4,"SÍ","NO")</f>
        <v>NO</v>
      </c>
      <c r="H92" s="88"/>
      <c r="I92" s="88"/>
    </row>
    <row r="93" spans="1:9" ht="15" customHeight="1" x14ac:dyDescent="0.25">
      <c r="A93" s="107" t="s">
        <v>302</v>
      </c>
      <c r="B93" s="107"/>
      <c r="C93" s="107"/>
      <c r="D93" s="107"/>
      <c r="E93" s="107"/>
      <c r="F93" s="107"/>
      <c r="G93" s="88" t="str">
        <f>IF(D55&gt;=4,"SÍ","NO")</f>
        <v>NO</v>
      </c>
      <c r="H93" s="88"/>
      <c r="I93" s="88"/>
    </row>
    <row r="94" spans="1:9" ht="15" customHeight="1" x14ac:dyDescent="0.25">
      <c r="A94" s="107" t="s">
        <v>303</v>
      </c>
      <c r="B94" s="107"/>
      <c r="C94" s="107"/>
      <c r="D94" s="107"/>
      <c r="E94" s="107"/>
      <c r="F94" s="107"/>
      <c r="G94" s="88" t="str">
        <f>IF(OR(D48&gt;=3,D49&gt;=4),"SÍ","NO")</f>
        <v>NO</v>
      </c>
      <c r="H94" s="88"/>
      <c r="I94" s="88"/>
    </row>
    <row r="95" spans="1:9" ht="15" customHeight="1" x14ac:dyDescent="0.25">
      <c r="A95" s="107" t="s">
        <v>304</v>
      </c>
      <c r="B95" s="107"/>
      <c r="C95" s="107"/>
      <c r="D95" s="107"/>
      <c r="E95" s="107"/>
      <c r="F95" s="107"/>
      <c r="G95" s="88" t="str">
        <f>IF(OR(D59&gt;=4,D60&gt;=4),"SÍ","NO")</f>
        <v>NO</v>
      </c>
      <c r="H95" s="88"/>
      <c r="I95" s="88"/>
    </row>
    <row r="96" spans="1:9" ht="15" customHeight="1" x14ac:dyDescent="0.25">
      <c r="A96" s="107" t="s">
        <v>305</v>
      </c>
      <c r="B96" s="107"/>
      <c r="C96" s="107"/>
      <c r="D96" s="107"/>
      <c r="E96" s="107"/>
      <c r="F96" s="107"/>
      <c r="G96" s="88" t="str">
        <f>IF(D72&gt;=4,"SÍ","NO")</f>
        <v>SÍ</v>
      </c>
      <c r="H96" s="88"/>
      <c r="I96" s="88"/>
    </row>
    <row r="97" spans="1:9" ht="15" customHeight="1" x14ac:dyDescent="0.25">
      <c r="A97" s="107" t="s">
        <v>306</v>
      </c>
      <c r="B97" s="107"/>
      <c r="C97" s="107"/>
      <c r="D97" s="107"/>
      <c r="E97" s="107"/>
      <c r="F97" s="107"/>
      <c r="G97" s="88" t="str">
        <f>IF(D69&gt;=4,"SÍ","NO")</f>
        <v>NO</v>
      </c>
      <c r="H97" s="88"/>
      <c r="I97" s="88"/>
    </row>
    <row r="99" spans="1:9" ht="19.5" customHeight="1" x14ac:dyDescent="0.25">
      <c r="A99" s="108" t="s">
        <v>307</v>
      </c>
      <c r="B99" s="108"/>
      <c r="C99" s="108"/>
      <c r="D99" s="108"/>
      <c r="E99" s="108"/>
      <c r="F99" s="108"/>
      <c r="G99" s="108"/>
      <c r="H99" s="108"/>
      <c r="I99" s="108"/>
    </row>
    <row r="100" spans="1:9" x14ac:dyDescent="0.25">
      <c r="A100" s="109" t="s">
        <v>308</v>
      </c>
      <c r="B100" s="109"/>
      <c r="C100" s="109"/>
      <c r="D100" s="110" t="str">
        <f>C5</f>
        <v>FV-GASIBA-2026-OR-002</v>
      </c>
      <c r="E100" s="110"/>
      <c r="F100" s="110"/>
      <c r="G100" s="110"/>
      <c r="H100" s="110"/>
      <c r="I100" s="110"/>
    </row>
    <row r="101" spans="1:9" x14ac:dyDescent="0.25">
      <c r="A101" s="109" t="s">
        <v>309</v>
      </c>
      <c r="B101" s="109"/>
      <c r="C101" s="109"/>
      <c r="D101" s="110" t="str">
        <f>F78&amp;"/100"</f>
        <v>16,437/100</v>
      </c>
      <c r="E101" s="110"/>
      <c r="F101" s="110"/>
      <c r="G101" s="110"/>
      <c r="H101" s="110"/>
      <c r="I101" s="110"/>
    </row>
    <row r="102" spans="1:9" x14ac:dyDescent="0.25">
      <c r="A102" s="109" t="s">
        <v>310</v>
      </c>
      <c r="B102" s="109"/>
      <c r="C102" s="109"/>
      <c r="D102" s="110" t="str">
        <f>TEXT(F79,"0.0%")</f>
        <v>16%</v>
      </c>
      <c r="E102" s="110"/>
      <c r="F102" s="110"/>
      <c r="G102" s="110"/>
      <c r="H102" s="110"/>
      <c r="I102" s="110"/>
    </row>
    <row r="103" spans="1:9" x14ac:dyDescent="0.25">
      <c r="A103" s="109" t="s">
        <v>311</v>
      </c>
      <c r="B103" s="109"/>
      <c r="C103" s="109"/>
      <c r="D103" s="110" t="str">
        <f>F80</f>
        <v>Vulnerabilidad muy baja</v>
      </c>
      <c r="E103" s="110"/>
      <c r="F103" s="110"/>
      <c r="G103" s="110"/>
      <c r="H103" s="110"/>
      <c r="I103" s="110"/>
    </row>
    <row r="104" spans="1:9" x14ac:dyDescent="0.25">
      <c r="A104" s="109" t="s">
        <v>312</v>
      </c>
      <c r="B104" s="109"/>
      <c r="C104" s="109"/>
      <c r="D104" s="110" t="str">
        <f>F83</f>
        <v>PRIORIDAD 3</v>
      </c>
      <c r="E104" s="110"/>
      <c r="F104" s="110"/>
      <c r="G104" s="110"/>
      <c r="H104" s="110"/>
      <c r="I104" s="110"/>
    </row>
    <row r="105" spans="1:9" x14ac:dyDescent="0.25">
      <c r="A105" s="109" t="s">
        <v>313</v>
      </c>
      <c r="B105" s="109"/>
      <c r="C105" s="109"/>
      <c r="D105" s="110" t="str">
        <f>F82</f>
        <v>NO</v>
      </c>
      <c r="E105" s="110"/>
      <c r="F105" s="110"/>
      <c r="G105" s="110"/>
      <c r="H105" s="110"/>
      <c r="I105" s="110"/>
    </row>
    <row r="106" spans="1:9" x14ac:dyDescent="0.25">
      <c r="A106" s="109" t="s">
        <v>314</v>
      </c>
      <c r="B106" s="109"/>
      <c r="C106" s="109"/>
      <c r="D106" s="110" t="str">
        <f>F84</f>
        <v>BAJA</v>
      </c>
      <c r="E106" s="110"/>
      <c r="F106" s="110"/>
      <c r="G106" s="110"/>
      <c r="H106" s="110"/>
      <c r="I106" s="110"/>
    </row>
    <row r="107" spans="1:9" ht="49.5" customHeight="1" x14ac:dyDescent="0.25">
      <c r="A107" s="109" t="s">
        <v>315</v>
      </c>
      <c r="B107" s="109"/>
      <c r="C107" s="109"/>
      <c r="D107" s="113"/>
      <c r="E107" s="113"/>
      <c r="F107" s="113"/>
      <c r="G107" s="113"/>
      <c r="H107" s="113"/>
      <c r="I107" s="113"/>
    </row>
    <row r="108" spans="1:9" x14ac:dyDescent="0.25">
      <c r="D108" s="113"/>
      <c r="E108" s="113"/>
      <c r="F108" s="113"/>
      <c r="G108" s="113"/>
      <c r="H108" s="113"/>
      <c r="I108" s="113"/>
    </row>
    <row r="109" spans="1:9" x14ac:dyDescent="0.25">
      <c r="D109" s="113"/>
      <c r="E109" s="113"/>
      <c r="F109" s="113"/>
      <c r="G109" s="113"/>
      <c r="H109" s="113"/>
      <c r="I109" s="113"/>
    </row>
    <row r="111" spans="1:9" ht="27.75" customHeight="1" x14ac:dyDescent="0.25">
      <c r="A111" s="114" t="s">
        <v>316</v>
      </c>
      <c r="B111" s="114"/>
      <c r="C111" s="114"/>
      <c r="D111" s="114"/>
      <c r="E111" s="114"/>
      <c r="F111" s="114"/>
      <c r="G111" s="114"/>
      <c r="H111" s="114"/>
      <c r="I111" s="114"/>
    </row>
    <row r="113" spans="1:9" ht="21.75" customHeight="1" x14ac:dyDescent="0.25">
      <c r="A113" s="115" t="s">
        <v>317</v>
      </c>
      <c r="B113" s="115"/>
      <c r="C113" s="115"/>
      <c r="D113" s="115"/>
      <c r="F113" s="116" t="s">
        <v>318</v>
      </c>
      <c r="G113" s="116"/>
      <c r="H113" s="116"/>
      <c r="I113" s="116"/>
    </row>
    <row r="114" spans="1:9" ht="21.75" customHeight="1" x14ac:dyDescent="0.25">
      <c r="A114" s="115"/>
      <c r="B114" s="115"/>
      <c r="C114" s="115"/>
      <c r="D114" s="115"/>
      <c r="F114" s="116"/>
      <c r="G114" s="116"/>
      <c r="H114" s="116"/>
      <c r="I114" s="116"/>
    </row>
    <row r="115" spans="1:9" x14ac:dyDescent="0.25">
      <c r="A115" s="111" t="s">
        <v>319</v>
      </c>
      <c r="B115" s="111"/>
      <c r="C115" s="111"/>
      <c r="D115" s="111"/>
      <c r="F115" s="111" t="s">
        <v>320</v>
      </c>
      <c r="G115" s="111"/>
      <c r="H115" s="111"/>
      <c r="I115" s="111"/>
    </row>
    <row r="116" spans="1:9" x14ac:dyDescent="0.25">
      <c r="A116" s="112"/>
      <c r="B116" s="112"/>
      <c r="C116" s="112"/>
      <c r="D116" s="112"/>
      <c r="E116" s="112"/>
      <c r="F116" s="112"/>
      <c r="G116" s="112"/>
      <c r="H116" s="112"/>
      <c r="I116" s="112"/>
    </row>
  </sheetData>
  <sheetProtection algorithmName="SHA-512" hashValue="V+VRndZKgdgDPp+2gnl6wr0edArhXnWfQaVi8qf0bkOzQM8OjcgroAHE68R4APf6TkPYlJy6IlpZ0IeKEVA4Bg==" saltValue="LfPhdZX0SaY44/mIGHKrGw==" spinCount="100000" sheet="1" sort="0" autoFilter="0"/>
  <mergeCells count="116">
    <mergeCell ref="A115:D115"/>
    <mergeCell ref="F115:I115"/>
    <mergeCell ref="A116:I116"/>
    <mergeCell ref="A105:C105"/>
    <mergeCell ref="D105:I105"/>
    <mergeCell ref="A106:C106"/>
    <mergeCell ref="D106:I106"/>
    <mergeCell ref="A107:C107"/>
    <mergeCell ref="D107:I109"/>
    <mergeCell ref="A111:I111"/>
    <mergeCell ref="A113:D114"/>
    <mergeCell ref="F113:I114"/>
    <mergeCell ref="A100:C100"/>
    <mergeCell ref="D100:I100"/>
    <mergeCell ref="A101:C101"/>
    <mergeCell ref="D101:I101"/>
    <mergeCell ref="A102:C102"/>
    <mergeCell ref="D102:I102"/>
    <mergeCell ref="A103:C103"/>
    <mergeCell ref="D103:I103"/>
    <mergeCell ref="A104:C104"/>
    <mergeCell ref="D104:I104"/>
    <mergeCell ref="A94:F94"/>
    <mergeCell ref="G94:I94"/>
    <mergeCell ref="A95:F95"/>
    <mergeCell ref="G95:I95"/>
    <mergeCell ref="A96:F96"/>
    <mergeCell ref="G96:I96"/>
    <mergeCell ref="A97:F97"/>
    <mergeCell ref="G97:I97"/>
    <mergeCell ref="A99:I99"/>
    <mergeCell ref="A89:F89"/>
    <mergeCell ref="G89:I89"/>
    <mergeCell ref="A90:F90"/>
    <mergeCell ref="G90:I90"/>
    <mergeCell ref="A91:F91"/>
    <mergeCell ref="G91:I91"/>
    <mergeCell ref="A92:F92"/>
    <mergeCell ref="G92:I92"/>
    <mergeCell ref="A93:F93"/>
    <mergeCell ref="G93:I93"/>
    <mergeCell ref="A82:E82"/>
    <mergeCell ref="F82:G82"/>
    <mergeCell ref="A83:E83"/>
    <mergeCell ref="F83:G83"/>
    <mergeCell ref="A84:E84"/>
    <mergeCell ref="F84:G84"/>
    <mergeCell ref="A86:I86"/>
    <mergeCell ref="A88:F88"/>
    <mergeCell ref="G88:I88"/>
    <mergeCell ref="A75:F75"/>
    <mergeCell ref="A77:I77"/>
    <mergeCell ref="A78:E78"/>
    <mergeCell ref="F78:G78"/>
    <mergeCell ref="A79:E79"/>
    <mergeCell ref="F79:G79"/>
    <mergeCell ref="A80:E80"/>
    <mergeCell ref="F80:G80"/>
    <mergeCell ref="A81:E81"/>
    <mergeCell ref="F81:G81"/>
    <mergeCell ref="A45:I45"/>
    <mergeCell ref="A51:F51"/>
    <mergeCell ref="A52:I52"/>
    <mergeCell ref="A57:F57"/>
    <mergeCell ref="A58:I58"/>
    <mergeCell ref="A63:F63"/>
    <mergeCell ref="A64:I64"/>
    <mergeCell ref="A70:F70"/>
    <mergeCell ref="A71:I71"/>
    <mergeCell ref="A23:B23"/>
    <mergeCell ref="C23:D23"/>
    <mergeCell ref="A25:I25"/>
    <mergeCell ref="A27:I27"/>
    <mergeCell ref="A33:F33"/>
    <mergeCell ref="A34:I34"/>
    <mergeCell ref="A38:F38"/>
    <mergeCell ref="A39:I39"/>
    <mergeCell ref="A44:F44"/>
    <mergeCell ref="A18:I18"/>
    <mergeCell ref="A19:B19"/>
    <mergeCell ref="C19:D19"/>
    <mergeCell ref="A20:B20"/>
    <mergeCell ref="C20:D20"/>
    <mergeCell ref="A21:B21"/>
    <mergeCell ref="C21:D21"/>
    <mergeCell ref="A22:B22"/>
    <mergeCell ref="C22:D22"/>
    <mergeCell ref="A12:B12"/>
    <mergeCell ref="C12:D12"/>
    <mergeCell ref="A13:B13"/>
    <mergeCell ref="C13:D13"/>
    <mergeCell ref="A14:B14"/>
    <mergeCell ref="C14:D14"/>
    <mergeCell ref="A15:B15"/>
    <mergeCell ref="C15:D15"/>
    <mergeCell ref="A16:B16"/>
    <mergeCell ref="C16:D16"/>
    <mergeCell ref="A8:B8"/>
    <mergeCell ref="C8:D8"/>
    <mergeCell ref="A9:B9"/>
    <mergeCell ref="C9:D9"/>
    <mergeCell ref="E9:F9"/>
    <mergeCell ref="G9:I9"/>
    <mergeCell ref="A10:B10"/>
    <mergeCell ref="C10:D10"/>
    <mergeCell ref="A11:B11"/>
    <mergeCell ref="C11:D11"/>
    <mergeCell ref="A1:I1"/>
    <mergeCell ref="A2:I2"/>
    <mergeCell ref="A4:I4"/>
    <mergeCell ref="A5:B5"/>
    <mergeCell ref="C5:D5"/>
    <mergeCell ref="A6:B6"/>
    <mergeCell ref="C6:D6"/>
    <mergeCell ref="A7:B7"/>
    <mergeCell ref="C7:D7"/>
  </mergeCells>
  <conditionalFormatting sqref="F81:G81">
    <cfRule type="cellIs" dxfId="13" priority="1" operator="equal">
      <formula>"ROJO"</formula>
    </cfRule>
    <cfRule type="cellIs" dxfId="12" priority="2" operator="equal">
      <formula>"NARANJA"</formula>
    </cfRule>
    <cfRule type="cellIs" dxfId="11" priority="3" operator="equal">
      <formula>"AMARILLO"</formula>
    </cfRule>
    <cfRule type="cellIs" dxfId="10" priority="4" operator="equal">
      <formula>"VERDE"</formula>
    </cfRule>
  </conditionalFormatting>
  <dataValidations count="33">
    <dataValidation type="list" allowBlank="1" showInputMessage="1" errorTitle="Valor no válido" error="Seleccione un valor de la lista." promptTitle="Seleccione" prompt="Seleccione" sqref="C10" xr:uid="{00000000-0002-0000-0100-000000000000}">
      <formula1>ListaSexo</formula1>
      <formula2>0</formula2>
    </dataValidation>
    <dataValidation type="list" allowBlank="1" showInputMessage="1" errorTitle="Valor no válido" error="Seleccione un valor de la lista." promptTitle="Seleccione" sqref="C11" xr:uid="{00000000-0002-0000-0100-000001000000}">
      <formula1>ListaCMCI</formula1>
      <formula2>0</formula2>
    </dataValidation>
    <dataValidation type="list" allowBlank="1" showInputMessage="1" errorTitle="Valor no válido" error="Seleccione un valor de la lista." promptTitle="Seleccione" sqref="C14" xr:uid="{00000000-0002-0000-0100-000002000000}">
      <formula1>ListaParentesco</formula1>
      <formula2>0</formula2>
    </dataValidation>
    <dataValidation type="list" allowBlank="1" showInputMessage="1" errorTitle="Valor no válido" error="Seleccione un valor de la lista." promptTitle="Seleccione" sqref="C16" xr:uid="{00000000-0002-0000-0100-000003000000}">
      <formula1>ListaEstadoVal</formula1>
      <formula2>0</formula2>
    </dataValidation>
    <dataValidation type="list" allowBlank="1" showInputMessage="1" errorTitle="Valor no válido" error="Seleccione un valor de la lista." promptTitle="Tipo de inserción laboral de l" prompt="¿Cuál es la situación de empleo de los cuidadores del hogar?" sqref="C29" xr:uid="{00000000-0002-0000-0100-000004000000}">
      <formula1>"Ambos/el único cuidador con empleo formal,Un cuidador con empleo formal,otro informal o sin empleo,Ambos/el único cuidador con empleo informal,Un cuidador desempleado,busca empleo activamente,Ambos cuidadores desempleados o sin fuente de ingreso propia"</formula1>
      <formula2>0</formula2>
    </dataValidation>
    <dataValidation type="list" allowBlank="1" showInputMessage="1" errorTitle="Valor no válido" error="Seleccione un valor de la lista." promptTitle="Estabilidad de los ingresos fa" prompt="¿Qué tan estables son los ingresos del hogar?" sqref="C30" xr:uid="{00000000-0002-0000-0100-000005000000}">
      <formula1>"Ingresos estables y permanentes,Ingresos variables pero frecuentes,Ingresos ocasionales o esporádicos,Sin ingresos fijos ni ocasionales"</formula1>
      <formula2>0</formula2>
    </dataValidation>
    <dataValidation type="list" allowBlank="1" showInputMessage="1" errorTitle="Valor no válido" error="Seleccione un valor de la lista." promptTitle="Situación de pobreza según reg" prompt="Según información disponible y verificable (Registro Social u otra fuente oficial), ¿cuál es la clasificación del hogar?" sqref="C32" xr:uid="{00000000-0002-0000-0100-000006000000}">
      <formula1>"No consta clasificación de pobreza / sin dato disponible,Clasificado como en situación de vulnerabilidad,Clasificado en situación de pobreza,Clasificado en situación de pobreza extrema"</formula1>
      <formula2>0</formula2>
    </dataValidation>
    <dataValidation type="list" allowBlank="1" showInputMessage="1" errorTitle="Valor no válido" error="Seleccione un valor de la lista." promptTitle="Estructura y jefatura del hoga" prompt="¿Cuál es la estructura de cuidado principal del hogar?" sqref="C35" xr:uid="{00000000-0002-0000-0100-000007000000}">
      <formula1>"Hogar biparental (ambos progenitores presentes y a cargo), Hogar monoparental_con apoyo familiar cercano disponible, Hogar monoparental_sin apoyo familiar cercano disponible, Niño/a bajo cuidado de terceros (sin ninguno de los progenitores)"</formula1>
    </dataValidation>
    <dataValidation type="list" allowBlank="1" showInputMessage="1" errorTitle="Valor no válido" error="Seleccione un valor de la lista." promptTitle="Personas adicionales dependien" prompt="¿Existen adultos mayores u otras personas con discapacidad que requieran cuidado y convivan en el hogar?" sqref="C37" xr:uid="{00000000-0002-0000-0100-000008000000}">
      <formula1>"Ninguna persona adicional dependiente,1 persona adicional dependiente,2 o más personas adicionales dependientes"</formula1>
      <formula2>0</formula2>
    </dataValidation>
    <dataValidation type="list" allowBlank="1" showInputMessage="1" errorTitle="Valor no válido" error="Seleccione un valor de la lista." promptTitle="Situación laboral del cuidador" prompt="¿Cuál es la situación laboral actual del cuidador/a principal?" sqref="C40" xr:uid="{00000000-0002-0000-0100-000009000000}">
      <formula1>"Empleo formal estable,Empleo informal o actividad independiente,Desempleado/a busca empleo activamente,Sin empleo sin búsqueda activa registrada"</formula1>
    </dataValidation>
    <dataValidation type="list" allowBlank="1" showInputMessage="1" errorTitle="Valor no válido" error="Seleccione un valor de la lista." promptTitle="Situación laboral del segundo " prompt="¿Cuál es la situación laboral del segundo cuidador/a, si existe?" sqref="C41" xr:uid="{00000000-0002-0000-0100-00000A000000}">
      <formula1>"No aplica (hogar con un solo cuidador),Empleo formal estable,Empleo informal o actividad independiente,Desempleado/a"</formula1>
      <formula2>0</formula2>
    </dataValidation>
    <dataValidation type="list" allowBlank="1" showInputMessage="1" errorTitle="Valor no válido" error="Seleccione un valor de la lista." promptTitle="Compatibilidad del horario lab" prompt="¿El horario laboral o educativo de los cuidadores es compatible con el cuidado del niño/a?" sqref="C42" xr:uid="{00000000-0002-0000-0100-00000B000000}">
      <formula1>"Horario compatible con el cuidado del niño/a,Parcialmente compatible (requiere apoyo parcial),Incompatible (jornada completa turnos rotativos o nocturnos)"</formula1>
    </dataValidation>
    <dataValidation type="list" allowBlank="1" showInputMessage="1" errorTitle="Valor no válido" error="Seleccione un valor de la lista." promptTitle="Condición de estudios del cuid" prompt="¿El cuidador/a principal estudia actualmente?" sqref="C43" xr:uid="{00000000-0002-0000-0100-00000C000000}">
      <formula1>"No estudia actualmente,Estudia y cuenta con apoyo para el cuidado del niño/a,Estudia y NO cuenta con apoyo para el cuidado del niño/a"</formula1>
      <formula2>0</formula2>
    </dataValidation>
    <dataValidation type="list" allowBlank="1" showInputMessage="1" errorTitle="Valor no válido" error="Seleccione un valor de la lista." promptTitle="Existencia de cuidador/a perma" prompt="¿El niño/a cuenta con un cuidador/a permanente y estable durante la jornada?" sqref="C46" xr:uid="{00000000-0002-0000-0100-00000D000000}">
      <formula1>"Sí cuenta con cuidador/a permanente y estable,Cuenta con cuidador/a pero de forma parcial o inestable,No cuenta con cuidador/a permanente"</formula1>
    </dataValidation>
    <dataValidation type="list" allowBlank="1" showInputMessage="1" errorTitle="Valor no válido" error="Seleccione un valor de la lista." promptTitle="Fragilidad del arreglo de cuid" prompt="¿Qué tan estable es el arreglo de cuidado actual si depende de familiares u otros terceros?" sqref="C47" xr:uid="{00000000-0002-0000-0100-00000E000000}">
      <formula1>"No depende de terceros; arreglo estable,Depende de familiares con disponibilidad limitada,Depende de familiares con alta probabilidad de discontinuidad"</formula1>
      <formula2>0</formula2>
    </dataValidation>
    <dataValidation type="list" allowBlank="1" showInputMessage="1" errorTitle="Valor no válido" error="Seleccione un valor de la lista." promptTitle="Horas diarias sin cuidador/a a" prompt="¿Cuántas horas al día permanece el niño/a sin un cuidador/a adulto responsable?" sqref="C48" xr:uid="{00000000-0002-0000-0100-00000F000000}">
      <formula1>"Ninguna hora,1 a 2 horas,3 a 4 horas,5 horas o más"</formula1>
      <formula2>0</formula2>
    </dataValidation>
    <dataValidation type="list" allowBlank="1" showInputMessage="1" errorTitle="Valor no válido" error="Seleccione un valor de la lista." promptTitle="Riesgo de interrupción del cui" prompt="¿Existe riesgo de que el arreglo de cuidado actual se interrumpa en las próximas semanas?" sqref="C49" xr:uid="{00000000-0002-0000-0100-000010000000}">
      <formula1>"Sin riesgo identificado,Riesgo posible,Riesgo alto o inminente"</formula1>
      <formula2>0</formula2>
    </dataValidation>
    <dataValidation type="list" allowBlank="1" showInputMessage="1" errorTitle="Valor no válido" error="Seleccione un valor de la lista." promptTitle="Acceso actual a un servicio de" prompt="¿El niño/a accede actualmente a algún servicio de cuidado infantil formal?" sqref="C50" xr:uid="{00000000-0002-0000-0100-000011000000}">
      <formula1>"Ya accede a un servicio formal de cuidado infantil,Accede parcialmente o a un servicio informal,No accede a ningún servicio de cuidado infantil"</formula1>
      <formula2>0</formula2>
    </dataValidation>
    <dataValidation type="list" allowBlank="1" showInputMessage="1" errorTitle="Valor no válido" error="Seleccione un valor de la lista." promptTitle="Tenencia de la vivienda" prompt="¿Cuál es la condición de tenencia de la vivienda?" sqref="C53" xr:uid="{00000000-0002-0000-0100-000012000000}">
      <formula1>"Propia,Arrendada,Prestada o cedida,Situación de alojamiento inestable (albergue compartida forzosamente etc.)"</formula1>
    </dataValidation>
    <dataValidation type="list" allowBlank="1" showInputMessage="1" errorTitle="Valor no válido" error="Seleccione un valor de la lista." promptTitle="Acceso a servicios básicos" prompt="¿La vivienda cuenta con agua segura, saneamiento y energía eléctrica?" sqref="C55" xr:uid="{00000000-0002-0000-0100-000013000000}">
      <formula1>"Cuenta con los 3 servicios básicos,Cuenta con 2 de los 3 servicios básicos,Cuenta con 1 o ningún servicio básico"</formula1>
      <formula2>0</formula2>
    </dataValidation>
    <dataValidation type="list" allowBlank="1" showInputMessage="1" errorTitle="Valor no válido" error="Seleccione un valor de la lista." promptTitle="Condiciones de riesgo físico o" prompt="¿La vivienda o su entorno presentan condiciones de riesgo?" sqref="C56" xr:uid="{00000000-0002-0000-0100-000014000000}">
      <formula1>"Sin riesgos identificados,Riesgo moderado (estado de la vivienda o ubicación),Riesgo alto (zona de deslaves ríos inseguridad vivienda en mal estado)"</formula1>
    </dataValidation>
    <dataValidation type="list" allowBlank="1" showInputMessage="1" errorTitle="Valor no válido" error="Seleccione un valor de la lista." promptTitle="Necesidades de cuidado especia" prompt="¿El niño/a presenta una condición de salud o discapacidad que requiera cuidados adicionales?" sqref="C59" xr:uid="{00000000-0002-0000-0100-000015000000}">
      <formula1>"Sin condición que requiera cuidado especial,Condición que requiere cuidados adicionales_actualmente cubiertos,Condición que requiere cuidados adicionales_ NO cubiertos"</formula1>
    </dataValidation>
    <dataValidation type="list" allowBlank="1" showInputMessage="1" errorTitle="Valor no válido" error="Seleccione un valor de la lista." promptTitle="Barreras de cuidado por discap" prompt="¿El cuidador/a principal presenta alguna limitación de salud o discapacidad que afecte su capacidad de cuidado?" sqref="C60" xr:uid="{00000000-0002-0000-0100-000016000000}">
      <formula1>"Sin limitación,Limitación parcial para el cuidado,Limitación severa para el cuidado"</formula1>
      <formula2>0</formula2>
    </dataValidation>
    <dataValidation type="list" allowBlank="1" showInputMessage="1" errorTitle="Valor no válido" error="Seleccione un valor de la lista." promptTitle="Enfermedad crónica o catastróf" prompt="¿Algún integrante del hogar presenta una enfermedad crónica o catastrófica que afecte la dinámica de cuidado?" sqref="C61" xr:uid="{00000000-0002-0000-0100-000017000000}">
      <formula1>"No aplica,Sí_con impacto moderado en el cuidado,Sí_con impacto severo en el cuidado"</formula1>
    </dataValidation>
    <dataValidation type="list" allowBlank="1" showInputMessage="1" errorTitle="Valor no válido" error="Seleccione un valor de la lista." promptTitle="Acceso a servicios de salud" prompt="¿El niño/a y su familia tienen acceso a servicios de salud?" sqref="C62" xr:uid="{00000000-0002-0000-0100-000018000000}">
      <formula1>"Acceso regular (afiliación/atención garantizada),Acceso limitado o intermitente,Sin acceso a servicios de salud"</formula1>
      <formula2>0</formula2>
    </dataValidation>
    <dataValidation type="list" allowBlank="1" showInputMessage="1" errorTitle="Valor no válido" error="Seleccione un valor de la lista." promptTitle="Indicios de violencia intrafam" prompt="¿Se identifican indicios de violencia intrafamiliar? (valoración cuidadosa, no acusatoria)" sqref="C65" xr:uid="{00000000-0002-0000-0100-000019000000}">
      <formula1>"No se identifican indicios,Indicios que ameritan observación,Indicios claros que ameritan derivación"</formula1>
      <formula2>0</formula2>
    </dataValidation>
    <dataValidation type="list" allowBlank="1" showInputMessage="1" errorTitle="Valor no válido" error="Seleccione un valor de la lista." promptTitle="Indicios de negligencia o aban" prompt="¿Se identifican indicios de negligencia o abandono?" sqref="C66" xr:uid="{00000000-0002-0000-0100-00001A000000}">
      <formula1>"No se identifican indicios,Indicios que ameritan observación,Indicios claros que ameritan derivación"</formula1>
      <formula2>0</formula2>
    </dataValidation>
    <dataValidation type="list" allowBlank="1" showInputMessage="1" errorTitle="Valor no válido" error="Seleccione un valor de la lista." promptTitle="Ausencia de redes de protecció" prompt="¿El hogar cuenta con redes de protección familiar o comunitaria activas?" sqref="C67" xr:uid="{00000000-0002-0000-0100-00001B000000}">
      <formula1>"Cuenta con redes de protección activas,Redes de protección limitadas,Sin ninguna red de protección"</formula1>
      <formula2>0</formula2>
    </dataValidation>
    <dataValidation type="list" allowBlank="1" showInputMessage="1" errorTitle="Valor no válido" error="Seleccione un valor de la lista." promptTitle="Situación de movilidad humana " prompt="¿La familia se encuentra en situación de movilidad humana o desplazamiento reciente?" sqref="C68" xr:uid="{00000000-0002-0000-0100-00001C000000}">
      <mc:AlternateContent xmlns:x12ac="http://schemas.microsoft.com/office/spreadsheetml/2011/1/ac" xmlns:mc="http://schemas.openxmlformats.org/markup-compatibility/2006">
        <mc:Choice Requires="x12ac">
          <x12ac:list>No aplica,Sí_ con proceso de regularización/adaptación en curso,"Sí_en situación de alta vulnerabilidad (reciente, irregular, sin redes)"</x12ac:list>
        </mc:Choice>
        <mc:Fallback>
          <formula1>"No aplica,Sí_ con proceso de regularización/adaptación en curso,Sí_en situación de alta vulnerabilidad (reciente, irregular, sin redes)"</formula1>
        </mc:Fallback>
      </mc:AlternateContent>
    </dataValidation>
    <dataValidation type="list" allowBlank="1" showInputMessage="1" errorTitle="Valor no válido" error="Seleccione un valor de la lista." promptTitle="Otras condiciones de riesgo so" prompt="¿Se identifican otras condiciones de riesgo social o comunitario que requieran seguimiento o derivación?" sqref="C69" xr:uid="{00000000-0002-0000-0100-00001D000000}">
      <formula1>"No se identifican, Se identifican_requieren seguimiento, Se identifican_requieren derivación inmediata"</formula1>
    </dataValidation>
    <dataValidation type="list" allowBlank="1" showInputMessage="1" errorTitle="Valor no válido" error="Seleccione un valor de la lista." promptTitle="Disponibilidad de familiares c" prompt="¿Existen familiares cercanos que puedan apoyar el cuidado del niño/a?" sqref="C72" xr:uid="{00000000-0002-0000-0100-00001E000000}">
      <formula1>"Sí_disponibilidad amplia,Disponibilidad limitada,Sin disponibilidad"</formula1>
    </dataValidation>
    <dataValidation type="list" allowBlank="1" showInputMessage="1" errorTitle="Valor no válido" error="Seleccione un valor de la lista." promptTitle="Frecuencia y consistencia del " prompt="¿Con qué frecuencia y consistencia se recibe el apoyo disponible?" sqref="C73" xr:uid="{00000000-0002-0000-0100-00001F000000}">
      <formula1>"Apoyo frecuente y confiable,Apoyo ocasional,Apoyo inexistente o poco confiable"</formula1>
      <formula2>0</formula2>
    </dataValidation>
    <dataValidation type="list" allowBlank="1" showInputMessage="1" errorTitle="Valor no válido" error="Seleccione un valor de la lista." promptTitle="Apoyo comunitario o institucio" prompt="¿La familia cuenta con apoyo comunitario o institucional activo?" sqref="C74" xr:uid="{00000000-0002-0000-0100-000020000000}">
      <formula1>"Cuenta con apoyo comunitario/institucional activo,Apoyo comunitario/institucional limitado,Sin apoyo comunitario/institucional"</formula1>
      <formula2>0</formula2>
    </dataValidation>
  </dataValidations>
  <pageMargins left="0.23622047244094491" right="0.23622047244094491" top="0.88" bottom="0.69" header="0.15" footer="0.12"/>
  <pageSetup paperSize="9" scale="55" fitToHeight="0" orientation="portrait" horizontalDpi="300" verticalDpi="300" r:id="rId1"/>
  <headerFooter>
    <oddHeader>&amp;C&amp;G</oddHeader>
    <oddFooter>&amp;C&amp;G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0]!Hoja2.GuardarFicha">
                <anchor moveWithCells="1" sizeWithCells="1">
                  <from>
                    <xdr:col>0</xdr:col>
                    <xdr:colOff>205740</xdr:colOff>
                    <xdr:row>112</xdr:row>
                    <xdr:rowOff>60960</xdr:rowOff>
                  </from>
                  <to>
                    <xdr:col>3</xdr:col>
                    <xdr:colOff>350520</xdr:colOff>
                    <xdr:row>113</xdr:row>
                    <xdr:rowOff>251460</xdr:rowOff>
                  </to>
                </anchor>
              </controlPr>
            </control>
          </mc:Choice>
        </mc:AlternateContent>
        <mc:AlternateContent xmlns:mc="http://schemas.openxmlformats.org/markup-compatibility/2006">
          <mc:Choice Requires="x14">
            <control shapeId="4098" r:id="rId6" name="Button 2">
              <controlPr defaultSize="0" print="0" autoFill="0" autoPict="0" macro="[0]!Hoja2.NuevoRegistro">
                <anchor moveWithCells="1" sizeWithCells="1">
                  <from>
                    <xdr:col>5</xdr:col>
                    <xdr:colOff>60960</xdr:colOff>
                    <xdr:row>112</xdr:row>
                    <xdr:rowOff>38100</xdr:rowOff>
                  </from>
                  <to>
                    <xdr:col>8</xdr:col>
                    <xdr:colOff>495300</xdr:colOff>
                    <xdr:row>113</xdr:row>
                    <xdr:rowOff>213360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G202"/>
  <sheetViews>
    <sheetView showGridLines="0" zoomScaleNormal="100" workbookViewId="0">
      <pane ySplit="3" topLeftCell="A199" activePane="bottomLeft" state="frozen"/>
      <selection pane="bottomLeft" activeCell="B76" sqref="B76:E76"/>
    </sheetView>
  </sheetViews>
  <sheetFormatPr baseColWidth="10" defaultColWidth="8.6640625" defaultRowHeight="14.4" x14ac:dyDescent="0.3"/>
  <cols>
    <col min="1" max="1" width="14" customWidth="1"/>
    <col min="2" max="2" width="30" customWidth="1"/>
    <col min="3" max="3" width="46" customWidth="1"/>
    <col min="4" max="4" width="16" customWidth="1"/>
    <col min="5" max="5" width="14" customWidth="1"/>
    <col min="6" max="7" width="16" customWidth="1"/>
  </cols>
  <sheetData>
    <row r="1" spans="1:7" ht="25.5" customHeight="1" x14ac:dyDescent="0.3">
      <c r="A1" s="117" t="s">
        <v>321</v>
      </c>
      <c r="B1" s="117"/>
      <c r="C1" s="117"/>
      <c r="D1" s="117"/>
      <c r="E1" s="117"/>
      <c r="F1" s="117"/>
      <c r="G1" s="117"/>
    </row>
    <row r="2" spans="1:7" x14ac:dyDescent="0.3">
      <c r="A2" s="118" t="s">
        <v>322</v>
      </c>
      <c r="B2" s="118"/>
      <c r="C2" s="118"/>
      <c r="D2" s="118"/>
      <c r="E2" s="118"/>
      <c r="F2" s="118"/>
      <c r="G2" s="118"/>
    </row>
    <row r="4" spans="1:7" ht="19.5" customHeight="1" x14ac:dyDescent="0.3">
      <c r="A4" s="119" t="s">
        <v>323</v>
      </c>
      <c r="B4" s="119"/>
      <c r="C4" s="119"/>
      <c r="D4" s="119"/>
      <c r="E4" s="119"/>
      <c r="F4" s="119"/>
      <c r="G4" s="119"/>
    </row>
    <row r="5" spans="1:7" ht="27.75" customHeight="1" x14ac:dyDescent="0.3">
      <c r="A5" s="1" t="s">
        <v>324</v>
      </c>
      <c r="B5" s="1" t="s">
        <v>325</v>
      </c>
      <c r="C5" s="1" t="s">
        <v>326</v>
      </c>
      <c r="D5" s="1"/>
      <c r="E5" s="1"/>
      <c r="F5" s="1"/>
      <c r="G5" s="1"/>
    </row>
    <row r="6" spans="1:7" ht="15" customHeight="1" x14ac:dyDescent="0.3">
      <c r="A6" s="16" t="s">
        <v>327</v>
      </c>
      <c r="B6" s="120" t="s">
        <v>328</v>
      </c>
      <c r="C6" s="120"/>
      <c r="D6" s="120"/>
      <c r="E6" s="120"/>
      <c r="F6" s="17">
        <v>20</v>
      </c>
      <c r="G6" s="15"/>
    </row>
    <row r="7" spans="1:7" ht="15" customHeight="1" x14ac:dyDescent="0.3">
      <c r="A7" s="16" t="s">
        <v>329</v>
      </c>
      <c r="B7" s="120" t="s">
        <v>330</v>
      </c>
      <c r="C7" s="120"/>
      <c r="D7" s="120"/>
      <c r="E7" s="120"/>
      <c r="F7" s="17">
        <v>10</v>
      </c>
      <c r="G7" s="15"/>
    </row>
    <row r="8" spans="1:7" ht="15" customHeight="1" x14ac:dyDescent="0.3">
      <c r="A8" s="16" t="s">
        <v>331</v>
      </c>
      <c r="B8" s="120" t="s">
        <v>332</v>
      </c>
      <c r="C8" s="120"/>
      <c r="D8" s="120"/>
      <c r="E8" s="120"/>
      <c r="F8" s="17">
        <v>15</v>
      </c>
      <c r="G8" s="15"/>
    </row>
    <row r="9" spans="1:7" ht="15" customHeight="1" x14ac:dyDescent="0.3">
      <c r="A9" s="16" t="s">
        <v>333</v>
      </c>
      <c r="B9" s="120" t="s">
        <v>334</v>
      </c>
      <c r="C9" s="120"/>
      <c r="D9" s="120"/>
      <c r="E9" s="120"/>
      <c r="F9" s="17">
        <v>20</v>
      </c>
      <c r="G9" s="15"/>
    </row>
    <row r="10" spans="1:7" ht="15" customHeight="1" x14ac:dyDescent="0.3">
      <c r="A10" s="16" t="s">
        <v>335</v>
      </c>
      <c r="B10" s="120" t="s">
        <v>336</v>
      </c>
      <c r="C10" s="120"/>
      <c r="D10" s="120"/>
      <c r="E10" s="120"/>
      <c r="F10" s="17">
        <v>10</v>
      </c>
      <c r="G10" s="15"/>
    </row>
    <row r="11" spans="1:7" ht="15" customHeight="1" x14ac:dyDescent="0.3">
      <c r="A11" s="16" t="s">
        <v>337</v>
      </c>
      <c r="B11" s="120" t="s">
        <v>338</v>
      </c>
      <c r="C11" s="120"/>
      <c r="D11" s="120"/>
      <c r="E11" s="120"/>
      <c r="F11" s="17">
        <v>10</v>
      </c>
      <c r="G11" s="15"/>
    </row>
    <row r="12" spans="1:7" ht="15" customHeight="1" x14ac:dyDescent="0.3">
      <c r="A12" s="16" t="s">
        <v>339</v>
      </c>
      <c r="B12" s="120" t="s">
        <v>340</v>
      </c>
      <c r="C12" s="120"/>
      <c r="D12" s="120"/>
      <c r="E12" s="120"/>
      <c r="F12" s="17">
        <v>10</v>
      </c>
      <c r="G12" s="15"/>
    </row>
    <row r="13" spans="1:7" ht="15" customHeight="1" x14ac:dyDescent="0.3">
      <c r="A13" s="16" t="s">
        <v>341</v>
      </c>
      <c r="B13" s="120" t="s">
        <v>342</v>
      </c>
      <c r="C13" s="120"/>
      <c r="D13" s="120"/>
      <c r="E13" s="120"/>
      <c r="F13" s="17">
        <v>5</v>
      </c>
      <c r="G13" s="15"/>
    </row>
    <row r="14" spans="1:7" x14ac:dyDescent="0.3">
      <c r="B14" s="121" t="s">
        <v>343</v>
      </c>
      <c r="C14" s="121"/>
      <c r="D14" s="121"/>
      <c r="E14" s="121"/>
      <c r="F14" s="18">
        <f>SUM(F6:F13)</f>
        <v>100</v>
      </c>
      <c r="G14" s="19" t="str">
        <f>IF(F14=100,"OK","REVISAR PESOS")</f>
        <v>OK</v>
      </c>
    </row>
    <row r="16" spans="1:7" ht="19.5" customHeight="1" x14ac:dyDescent="0.3">
      <c r="A16" s="119" t="s">
        <v>344</v>
      </c>
      <c r="B16" s="119"/>
      <c r="C16" s="119"/>
      <c r="D16" s="119"/>
      <c r="E16" s="119"/>
      <c r="F16" s="119"/>
      <c r="G16" s="119"/>
    </row>
    <row r="17" spans="1:7" ht="27.75" customHeight="1" x14ac:dyDescent="0.3">
      <c r="A17" s="1" t="s">
        <v>170</v>
      </c>
      <c r="B17" s="1" t="s">
        <v>345</v>
      </c>
      <c r="C17" s="1" t="s">
        <v>163</v>
      </c>
      <c r="D17" s="1" t="s">
        <v>346</v>
      </c>
      <c r="E17" s="1" t="s">
        <v>347</v>
      </c>
      <c r="F17" s="1"/>
      <c r="G17" s="1"/>
    </row>
    <row r="18" spans="1:7" x14ac:dyDescent="0.3">
      <c r="A18" s="16" t="s">
        <v>174</v>
      </c>
      <c r="B18" s="16" t="s">
        <v>327</v>
      </c>
      <c r="C18" s="11" t="s">
        <v>172</v>
      </c>
      <c r="D18" s="20">
        <v>20</v>
      </c>
      <c r="E18" s="13">
        <f t="shared" ref="E18:E50" si="0">VLOOKUP($B18,$A$6:$F$13,6,0)*D18/100</f>
        <v>4</v>
      </c>
      <c r="F18" s="15"/>
      <c r="G18" s="15"/>
    </row>
    <row r="19" spans="1:7" x14ac:dyDescent="0.3">
      <c r="A19" s="16" t="s">
        <v>177</v>
      </c>
      <c r="B19" s="16" t="s">
        <v>327</v>
      </c>
      <c r="C19" s="11" t="s">
        <v>175</v>
      </c>
      <c r="D19" s="20">
        <v>20</v>
      </c>
      <c r="E19" s="13">
        <f t="shared" si="0"/>
        <v>4</v>
      </c>
      <c r="F19" s="15"/>
      <c r="G19" s="15"/>
    </row>
    <row r="20" spans="1:7" x14ac:dyDescent="0.3">
      <c r="A20" s="16" t="s">
        <v>180</v>
      </c>
      <c r="B20" s="16" t="s">
        <v>327</v>
      </c>
      <c r="C20" s="11" t="s">
        <v>178</v>
      </c>
      <c r="D20" s="20">
        <v>20</v>
      </c>
      <c r="E20" s="13">
        <f t="shared" si="0"/>
        <v>4</v>
      </c>
      <c r="F20" s="15"/>
      <c r="G20" s="15"/>
    </row>
    <row r="21" spans="1:7" x14ac:dyDescent="0.3">
      <c r="A21" s="16" t="s">
        <v>183</v>
      </c>
      <c r="B21" s="16" t="s">
        <v>327</v>
      </c>
      <c r="C21" s="11" t="s">
        <v>181</v>
      </c>
      <c r="D21" s="20">
        <v>20</v>
      </c>
      <c r="E21" s="13">
        <f t="shared" si="0"/>
        <v>4</v>
      </c>
      <c r="F21" s="15"/>
      <c r="G21" s="15"/>
    </row>
    <row r="22" spans="1:7" ht="28.8" x14ac:dyDescent="0.3">
      <c r="A22" s="16" t="s">
        <v>186</v>
      </c>
      <c r="B22" s="16" t="s">
        <v>327</v>
      </c>
      <c r="C22" s="11" t="s">
        <v>184</v>
      </c>
      <c r="D22" s="20">
        <v>20</v>
      </c>
      <c r="E22" s="13">
        <f t="shared" si="0"/>
        <v>4</v>
      </c>
      <c r="F22" s="15"/>
      <c r="G22" s="15"/>
    </row>
    <row r="23" spans="1:7" x14ac:dyDescent="0.3">
      <c r="A23" s="16" t="s">
        <v>191</v>
      </c>
      <c r="B23" s="16" t="s">
        <v>329</v>
      </c>
      <c r="C23" s="11" t="s">
        <v>189</v>
      </c>
      <c r="D23" s="20">
        <v>33.33</v>
      </c>
      <c r="E23" s="13">
        <f t="shared" si="0"/>
        <v>3.3329999999999997</v>
      </c>
      <c r="F23" s="15"/>
      <c r="G23" s="15"/>
    </row>
    <row r="24" spans="1:7" ht="28.8" x14ac:dyDescent="0.3">
      <c r="A24" s="16" t="s">
        <v>194</v>
      </c>
      <c r="B24" s="16" t="s">
        <v>329</v>
      </c>
      <c r="C24" s="11" t="s">
        <v>192</v>
      </c>
      <c r="D24" s="20">
        <v>33.33</v>
      </c>
      <c r="E24" s="13">
        <f t="shared" si="0"/>
        <v>3.3329999999999997</v>
      </c>
      <c r="F24" s="15"/>
      <c r="G24" s="15"/>
    </row>
    <row r="25" spans="1:7" x14ac:dyDescent="0.3">
      <c r="A25" s="16" t="s">
        <v>197</v>
      </c>
      <c r="B25" s="16" t="s">
        <v>329</v>
      </c>
      <c r="C25" s="11" t="s">
        <v>195</v>
      </c>
      <c r="D25" s="20">
        <v>33.33</v>
      </c>
      <c r="E25" s="13">
        <f t="shared" si="0"/>
        <v>3.3329999999999997</v>
      </c>
      <c r="F25" s="15"/>
      <c r="G25" s="15"/>
    </row>
    <row r="26" spans="1:7" x14ac:dyDescent="0.3">
      <c r="A26" s="16" t="s">
        <v>202</v>
      </c>
      <c r="B26" s="16" t="s">
        <v>331</v>
      </c>
      <c r="C26" s="11" t="s">
        <v>200</v>
      </c>
      <c r="D26" s="20">
        <v>25</v>
      </c>
      <c r="E26" s="13">
        <f t="shared" si="0"/>
        <v>3.75</v>
      </c>
      <c r="F26" s="15"/>
      <c r="G26" s="15"/>
    </row>
    <row r="27" spans="1:7" x14ac:dyDescent="0.3">
      <c r="A27" s="16" t="s">
        <v>205</v>
      </c>
      <c r="B27" s="16" t="s">
        <v>331</v>
      </c>
      <c r="C27" s="11" t="s">
        <v>203</v>
      </c>
      <c r="D27" s="20">
        <v>25</v>
      </c>
      <c r="E27" s="13">
        <f t="shared" si="0"/>
        <v>3.75</v>
      </c>
      <c r="F27" s="15"/>
      <c r="G27" s="15"/>
    </row>
    <row r="28" spans="1:7" ht="28.8" x14ac:dyDescent="0.3">
      <c r="A28" s="16" t="s">
        <v>208</v>
      </c>
      <c r="B28" s="16" t="s">
        <v>331</v>
      </c>
      <c r="C28" s="11" t="s">
        <v>206</v>
      </c>
      <c r="D28" s="20">
        <v>25</v>
      </c>
      <c r="E28" s="13">
        <f t="shared" si="0"/>
        <v>3.75</v>
      </c>
      <c r="F28" s="15"/>
      <c r="G28" s="15"/>
    </row>
    <row r="29" spans="1:7" x14ac:dyDescent="0.3">
      <c r="A29" s="16" t="s">
        <v>211</v>
      </c>
      <c r="B29" s="16" t="s">
        <v>331</v>
      </c>
      <c r="C29" s="11" t="s">
        <v>209</v>
      </c>
      <c r="D29" s="20">
        <v>25</v>
      </c>
      <c r="E29" s="13">
        <f t="shared" si="0"/>
        <v>3.75</v>
      </c>
      <c r="F29" s="15"/>
      <c r="G29" s="15"/>
    </row>
    <row r="30" spans="1:7" ht="28.8" x14ac:dyDescent="0.3">
      <c r="A30" s="16" t="s">
        <v>216</v>
      </c>
      <c r="B30" s="16" t="s">
        <v>333</v>
      </c>
      <c r="C30" s="11" t="s">
        <v>214</v>
      </c>
      <c r="D30" s="20">
        <v>20</v>
      </c>
      <c r="E30" s="13">
        <f t="shared" si="0"/>
        <v>4</v>
      </c>
      <c r="F30" s="15"/>
      <c r="G30" s="15"/>
    </row>
    <row r="31" spans="1:7" ht="28.8" x14ac:dyDescent="0.3">
      <c r="A31" s="16" t="s">
        <v>219</v>
      </c>
      <c r="B31" s="16" t="s">
        <v>333</v>
      </c>
      <c r="C31" s="11" t="s">
        <v>217</v>
      </c>
      <c r="D31" s="20">
        <v>20</v>
      </c>
      <c r="E31" s="13">
        <f t="shared" si="0"/>
        <v>4</v>
      </c>
      <c r="F31" s="15"/>
      <c r="G31" s="15"/>
    </row>
    <row r="32" spans="1:7" x14ac:dyDescent="0.3">
      <c r="A32" s="16" t="s">
        <v>222</v>
      </c>
      <c r="B32" s="16" t="s">
        <v>333</v>
      </c>
      <c r="C32" s="11" t="s">
        <v>220</v>
      </c>
      <c r="D32" s="20">
        <v>20</v>
      </c>
      <c r="E32" s="13">
        <f t="shared" si="0"/>
        <v>4</v>
      </c>
      <c r="F32" s="15"/>
      <c r="G32" s="15"/>
    </row>
    <row r="33" spans="1:7" x14ac:dyDescent="0.3">
      <c r="A33" s="16" t="s">
        <v>225</v>
      </c>
      <c r="B33" s="16" t="s">
        <v>333</v>
      </c>
      <c r="C33" s="11" t="s">
        <v>223</v>
      </c>
      <c r="D33" s="20">
        <v>20</v>
      </c>
      <c r="E33" s="13">
        <f t="shared" si="0"/>
        <v>4</v>
      </c>
      <c r="F33" s="15"/>
      <c r="G33" s="15"/>
    </row>
    <row r="34" spans="1:7" x14ac:dyDescent="0.3">
      <c r="A34" s="16" t="s">
        <v>228</v>
      </c>
      <c r="B34" s="16" t="s">
        <v>333</v>
      </c>
      <c r="C34" s="11" t="s">
        <v>226</v>
      </c>
      <c r="D34" s="20">
        <v>20</v>
      </c>
      <c r="E34" s="13">
        <f t="shared" si="0"/>
        <v>4</v>
      </c>
      <c r="F34" s="15"/>
      <c r="G34" s="15"/>
    </row>
    <row r="35" spans="1:7" x14ac:dyDescent="0.3">
      <c r="A35" s="16" t="s">
        <v>233</v>
      </c>
      <c r="B35" s="16" t="s">
        <v>335</v>
      </c>
      <c r="C35" s="11" t="s">
        <v>231</v>
      </c>
      <c r="D35" s="20">
        <v>25</v>
      </c>
      <c r="E35" s="13">
        <f t="shared" si="0"/>
        <v>2.5</v>
      </c>
      <c r="F35" s="15"/>
      <c r="G35" s="15"/>
    </row>
    <row r="36" spans="1:7" x14ac:dyDescent="0.3">
      <c r="A36" s="16" t="s">
        <v>236</v>
      </c>
      <c r="B36" s="16" t="s">
        <v>335</v>
      </c>
      <c r="C36" s="11" t="s">
        <v>234</v>
      </c>
      <c r="D36" s="20">
        <v>25</v>
      </c>
      <c r="E36" s="13">
        <f t="shared" si="0"/>
        <v>2.5</v>
      </c>
      <c r="F36" s="15"/>
      <c r="G36" s="15"/>
    </row>
    <row r="37" spans="1:7" x14ac:dyDescent="0.3">
      <c r="A37" s="16" t="s">
        <v>239</v>
      </c>
      <c r="B37" s="16" t="s">
        <v>335</v>
      </c>
      <c r="C37" s="11" t="s">
        <v>237</v>
      </c>
      <c r="D37" s="20">
        <v>25</v>
      </c>
      <c r="E37" s="13">
        <f t="shared" si="0"/>
        <v>2.5</v>
      </c>
      <c r="F37" s="15"/>
      <c r="G37" s="15"/>
    </row>
    <row r="38" spans="1:7" x14ac:dyDescent="0.3">
      <c r="A38" s="16" t="s">
        <v>242</v>
      </c>
      <c r="B38" s="16" t="s">
        <v>335</v>
      </c>
      <c r="C38" s="11" t="s">
        <v>240</v>
      </c>
      <c r="D38" s="20">
        <v>25</v>
      </c>
      <c r="E38" s="13">
        <f t="shared" si="0"/>
        <v>2.5</v>
      </c>
      <c r="F38" s="15"/>
      <c r="G38" s="15"/>
    </row>
    <row r="39" spans="1:7" ht="28.8" x14ac:dyDescent="0.3">
      <c r="A39" s="16" t="s">
        <v>247</v>
      </c>
      <c r="B39" s="16" t="s">
        <v>337</v>
      </c>
      <c r="C39" s="11" t="s">
        <v>245</v>
      </c>
      <c r="D39" s="20">
        <v>25</v>
      </c>
      <c r="E39" s="13">
        <f t="shared" si="0"/>
        <v>2.5</v>
      </c>
      <c r="F39" s="15"/>
      <c r="G39" s="15"/>
    </row>
    <row r="40" spans="1:7" ht="28.8" x14ac:dyDescent="0.3">
      <c r="A40" s="16" t="s">
        <v>250</v>
      </c>
      <c r="B40" s="16" t="s">
        <v>337</v>
      </c>
      <c r="C40" s="11" t="s">
        <v>248</v>
      </c>
      <c r="D40" s="20">
        <v>25</v>
      </c>
      <c r="E40" s="13">
        <f t="shared" si="0"/>
        <v>2.5</v>
      </c>
      <c r="F40" s="15"/>
      <c r="G40" s="15"/>
    </row>
    <row r="41" spans="1:7" ht="28.8" x14ac:dyDescent="0.3">
      <c r="A41" s="16" t="s">
        <v>253</v>
      </c>
      <c r="B41" s="16" t="s">
        <v>337</v>
      </c>
      <c r="C41" s="11" t="s">
        <v>251</v>
      </c>
      <c r="D41" s="20">
        <v>25</v>
      </c>
      <c r="E41" s="13">
        <f t="shared" si="0"/>
        <v>2.5</v>
      </c>
      <c r="F41" s="15"/>
      <c r="G41" s="15"/>
    </row>
    <row r="42" spans="1:7" x14ac:dyDescent="0.3">
      <c r="A42" s="16" t="s">
        <v>256</v>
      </c>
      <c r="B42" s="16" t="s">
        <v>337</v>
      </c>
      <c r="C42" s="11" t="s">
        <v>254</v>
      </c>
      <c r="D42" s="20">
        <v>25</v>
      </c>
      <c r="E42" s="13">
        <f t="shared" si="0"/>
        <v>2.5</v>
      </c>
      <c r="F42" s="15"/>
      <c r="G42" s="15"/>
    </row>
    <row r="43" spans="1:7" x14ac:dyDescent="0.3">
      <c r="A43" s="16" t="s">
        <v>261</v>
      </c>
      <c r="B43" s="16" t="s">
        <v>339</v>
      </c>
      <c r="C43" s="11" t="s">
        <v>259</v>
      </c>
      <c r="D43" s="20">
        <v>20</v>
      </c>
      <c r="E43" s="13">
        <f t="shared" si="0"/>
        <v>2</v>
      </c>
      <c r="F43" s="15"/>
      <c r="G43" s="15"/>
    </row>
    <row r="44" spans="1:7" x14ac:dyDescent="0.3">
      <c r="A44" s="16" t="s">
        <v>264</v>
      </c>
      <c r="B44" s="16" t="s">
        <v>339</v>
      </c>
      <c r="C44" s="11" t="s">
        <v>262</v>
      </c>
      <c r="D44" s="20">
        <v>20</v>
      </c>
      <c r="E44" s="13">
        <f t="shared" si="0"/>
        <v>2</v>
      </c>
      <c r="F44" s="15"/>
      <c r="G44" s="15"/>
    </row>
    <row r="45" spans="1:7" ht="28.8" x14ac:dyDescent="0.3">
      <c r="A45" s="16" t="s">
        <v>267</v>
      </c>
      <c r="B45" s="16" t="s">
        <v>339</v>
      </c>
      <c r="C45" s="11" t="s">
        <v>265</v>
      </c>
      <c r="D45" s="20">
        <v>20</v>
      </c>
      <c r="E45" s="13">
        <f t="shared" si="0"/>
        <v>2</v>
      </c>
      <c r="F45" s="15"/>
      <c r="G45" s="15"/>
    </row>
    <row r="46" spans="1:7" ht="28.8" x14ac:dyDescent="0.3">
      <c r="A46" s="16" t="s">
        <v>270</v>
      </c>
      <c r="B46" s="16" t="s">
        <v>339</v>
      </c>
      <c r="C46" s="11" t="s">
        <v>268</v>
      </c>
      <c r="D46" s="20">
        <v>20</v>
      </c>
      <c r="E46" s="13">
        <f t="shared" si="0"/>
        <v>2</v>
      </c>
      <c r="F46" s="15"/>
      <c r="G46" s="15"/>
    </row>
    <row r="47" spans="1:7" x14ac:dyDescent="0.3">
      <c r="A47" s="16" t="s">
        <v>273</v>
      </c>
      <c r="B47" s="16" t="s">
        <v>339</v>
      </c>
      <c r="C47" s="11" t="s">
        <v>271</v>
      </c>
      <c r="D47" s="20">
        <v>20</v>
      </c>
      <c r="E47" s="13">
        <f t="shared" si="0"/>
        <v>2</v>
      </c>
      <c r="F47" s="15"/>
      <c r="G47" s="15"/>
    </row>
    <row r="48" spans="1:7" ht="28.8" x14ac:dyDescent="0.3">
      <c r="A48" s="16" t="s">
        <v>278</v>
      </c>
      <c r="B48" s="16" t="s">
        <v>341</v>
      </c>
      <c r="C48" s="11" t="s">
        <v>276</v>
      </c>
      <c r="D48" s="20">
        <v>33.33</v>
      </c>
      <c r="E48" s="13">
        <f t="shared" si="0"/>
        <v>1.6664999999999999</v>
      </c>
      <c r="F48" s="15"/>
      <c r="G48" s="15"/>
    </row>
    <row r="49" spans="1:7" x14ac:dyDescent="0.3">
      <c r="A49" s="16" t="s">
        <v>281</v>
      </c>
      <c r="B49" s="16" t="s">
        <v>341</v>
      </c>
      <c r="C49" s="11" t="s">
        <v>279</v>
      </c>
      <c r="D49" s="20">
        <v>33.33</v>
      </c>
      <c r="E49" s="13">
        <f t="shared" si="0"/>
        <v>1.6664999999999999</v>
      </c>
      <c r="F49" s="15"/>
      <c r="G49" s="15"/>
    </row>
    <row r="50" spans="1:7" x14ac:dyDescent="0.3">
      <c r="A50" s="16" t="s">
        <v>284</v>
      </c>
      <c r="B50" s="16" t="s">
        <v>341</v>
      </c>
      <c r="C50" s="11" t="s">
        <v>282</v>
      </c>
      <c r="D50" s="20">
        <v>33.33</v>
      </c>
      <c r="E50" s="13">
        <f t="shared" si="0"/>
        <v>1.6664999999999999</v>
      </c>
      <c r="F50" s="15"/>
      <c r="G50" s="15"/>
    </row>
    <row r="51" spans="1:7" x14ac:dyDescent="0.3">
      <c r="C51" s="7" t="s">
        <v>348</v>
      </c>
      <c r="E51" s="21">
        <f>SUM(E18:E50)</f>
        <v>99.998499999999993</v>
      </c>
    </row>
    <row r="52" spans="1:7" x14ac:dyDescent="0.3">
      <c r="C52" s="22" t="s">
        <v>349</v>
      </c>
    </row>
    <row r="53" spans="1:7" x14ac:dyDescent="0.3">
      <c r="C53" s="23" t="s">
        <v>350</v>
      </c>
      <c r="E53" s="13">
        <f>SUMIF($B$18:$B$50,"D1",$D$18:$D$50)</f>
        <v>100</v>
      </c>
    </row>
    <row r="54" spans="1:7" x14ac:dyDescent="0.3">
      <c r="C54" s="23" t="s">
        <v>351</v>
      </c>
      <c r="E54" s="13">
        <f>SUMIF($B$18:$B$50,"D2",$D$18:$D$50)</f>
        <v>99.99</v>
      </c>
    </row>
    <row r="55" spans="1:7" x14ac:dyDescent="0.3">
      <c r="C55" s="23" t="s">
        <v>352</v>
      </c>
      <c r="E55" s="13">
        <f>SUMIF($B$18:$B$50,"D3",$D$18:$D$50)</f>
        <v>100</v>
      </c>
    </row>
    <row r="56" spans="1:7" x14ac:dyDescent="0.3">
      <c r="C56" s="23" t="s">
        <v>353</v>
      </c>
      <c r="E56" s="13">
        <f>SUMIF($B$18:$B$50,"D4",$D$18:$D$50)</f>
        <v>100</v>
      </c>
    </row>
    <row r="57" spans="1:7" x14ac:dyDescent="0.3">
      <c r="C57" s="23" t="s">
        <v>354</v>
      </c>
      <c r="E57" s="13">
        <f>SUMIF($B$18:$B$50,"D5",$D$18:$D$50)</f>
        <v>100</v>
      </c>
    </row>
    <row r="58" spans="1:7" x14ac:dyDescent="0.3">
      <c r="C58" s="23" t="s">
        <v>355</v>
      </c>
      <c r="E58" s="13">
        <f>SUMIF($B$18:$B$50,"D6",$D$18:$D$50)</f>
        <v>100</v>
      </c>
    </row>
    <row r="59" spans="1:7" x14ac:dyDescent="0.3">
      <c r="C59" s="23" t="s">
        <v>356</v>
      </c>
      <c r="E59" s="13">
        <f>SUMIF($B$18:$B$50,"D7",$D$18:$D$50)</f>
        <v>100</v>
      </c>
    </row>
    <row r="60" spans="1:7" x14ac:dyDescent="0.3">
      <c r="C60" s="23" t="s">
        <v>357</v>
      </c>
      <c r="E60" s="13">
        <f>SUMIF($B$18:$B$50,"D8",$D$18:$D$50)</f>
        <v>99.99</v>
      </c>
    </row>
    <row r="62" spans="1:7" ht="19.5" customHeight="1" x14ac:dyDescent="0.3">
      <c r="A62" s="119" t="s">
        <v>358</v>
      </c>
      <c r="B62" s="119"/>
      <c r="C62" s="119"/>
      <c r="D62" s="119"/>
      <c r="E62" s="119"/>
      <c r="F62" s="119"/>
      <c r="G62" s="119"/>
    </row>
    <row r="63" spans="1:7" ht="27.75" customHeight="1" x14ac:dyDescent="0.3">
      <c r="A63" s="1" t="s">
        <v>359</v>
      </c>
      <c r="B63" s="1" t="s">
        <v>360</v>
      </c>
      <c r="C63" s="1" t="s">
        <v>361</v>
      </c>
      <c r="D63" s="1"/>
      <c r="E63" s="1"/>
      <c r="F63" s="1"/>
      <c r="G63" s="1"/>
    </row>
    <row r="64" spans="1:7" ht="15" customHeight="1" x14ac:dyDescent="0.3">
      <c r="A64" s="50" t="s">
        <v>177</v>
      </c>
      <c r="B64" s="120" t="s">
        <v>362</v>
      </c>
      <c r="C64" s="120"/>
      <c r="D64" s="120"/>
      <c r="E64" s="120"/>
      <c r="F64" s="10">
        <v>0</v>
      </c>
      <c r="G64" s="15"/>
    </row>
    <row r="65" spans="1:7" ht="15" customHeight="1" x14ac:dyDescent="0.3">
      <c r="A65" s="50" t="s">
        <v>177</v>
      </c>
      <c r="B65" s="120" t="s">
        <v>584</v>
      </c>
      <c r="C65" s="120"/>
      <c r="D65" s="120"/>
      <c r="E65" s="120"/>
      <c r="F65" s="10">
        <v>1</v>
      </c>
      <c r="G65" s="15"/>
    </row>
    <row r="66" spans="1:7" ht="15" customHeight="1" x14ac:dyDescent="0.3">
      <c r="A66" s="50" t="s">
        <v>177</v>
      </c>
      <c r="B66" s="120" t="s">
        <v>587</v>
      </c>
      <c r="C66" s="120"/>
      <c r="D66" s="120"/>
      <c r="E66" s="120"/>
      <c r="F66" s="10">
        <v>1</v>
      </c>
      <c r="G66" s="15"/>
    </row>
    <row r="67" spans="1:7" ht="15" customHeight="1" x14ac:dyDescent="0.3">
      <c r="A67" s="50" t="s">
        <v>177</v>
      </c>
      <c r="B67" s="120" t="s">
        <v>363</v>
      </c>
      <c r="C67" s="120"/>
      <c r="D67" s="120"/>
      <c r="E67" s="120"/>
      <c r="F67" s="10">
        <v>2</v>
      </c>
      <c r="G67" s="15"/>
    </row>
    <row r="68" spans="1:7" ht="15" customHeight="1" x14ac:dyDescent="0.3">
      <c r="A68" s="50" t="s">
        <v>177</v>
      </c>
      <c r="B68" s="120" t="s">
        <v>585</v>
      </c>
      <c r="C68" s="120"/>
      <c r="D68" s="120"/>
      <c r="E68" s="120"/>
      <c r="F68" s="10">
        <v>3</v>
      </c>
      <c r="G68" s="15"/>
    </row>
    <row r="69" spans="1:7" ht="15" customHeight="1" x14ac:dyDescent="0.3">
      <c r="A69" s="50" t="s">
        <v>177</v>
      </c>
      <c r="B69" s="120" t="s">
        <v>586</v>
      </c>
      <c r="C69" s="120"/>
      <c r="D69" s="120"/>
      <c r="E69" s="120"/>
      <c r="F69" s="10">
        <v>3</v>
      </c>
      <c r="G69" s="15"/>
    </row>
    <row r="70" spans="1:7" ht="15" customHeight="1" x14ac:dyDescent="0.3">
      <c r="A70" s="50" t="s">
        <v>177</v>
      </c>
      <c r="B70" s="120" t="s">
        <v>364</v>
      </c>
      <c r="C70" s="120"/>
      <c r="D70" s="120"/>
      <c r="E70" s="120"/>
      <c r="F70" s="10">
        <v>4</v>
      </c>
      <c r="G70" s="15"/>
    </row>
    <row r="71" spans="1:7" ht="15" customHeight="1" x14ac:dyDescent="0.3">
      <c r="A71" s="50" t="s">
        <v>180</v>
      </c>
      <c r="B71" s="120" t="s">
        <v>365</v>
      </c>
      <c r="C71" s="120"/>
      <c r="D71" s="120"/>
      <c r="E71" s="120"/>
      <c r="F71" s="10">
        <v>0</v>
      </c>
      <c r="G71" s="15"/>
    </row>
    <row r="72" spans="1:7" ht="15" customHeight="1" x14ac:dyDescent="0.3">
      <c r="A72" s="50" t="s">
        <v>180</v>
      </c>
      <c r="B72" s="120" t="s">
        <v>366</v>
      </c>
      <c r="C72" s="120"/>
      <c r="D72" s="120"/>
      <c r="E72" s="120"/>
      <c r="F72" s="10">
        <v>2</v>
      </c>
      <c r="G72" s="15"/>
    </row>
    <row r="73" spans="1:7" ht="15" customHeight="1" x14ac:dyDescent="0.3">
      <c r="A73" s="50" t="s">
        <v>180</v>
      </c>
      <c r="B73" s="120" t="s">
        <v>367</v>
      </c>
      <c r="C73" s="120"/>
      <c r="D73" s="120"/>
      <c r="E73" s="120"/>
      <c r="F73" s="10">
        <v>3</v>
      </c>
      <c r="G73" s="15"/>
    </row>
    <row r="74" spans="1:7" ht="15" customHeight="1" x14ac:dyDescent="0.3">
      <c r="A74" s="50" t="s">
        <v>180</v>
      </c>
      <c r="B74" s="120" t="s">
        <v>368</v>
      </c>
      <c r="C74" s="120"/>
      <c r="D74" s="120"/>
      <c r="E74" s="120"/>
      <c r="F74" s="10">
        <v>4</v>
      </c>
      <c r="G74" s="15"/>
    </row>
    <row r="75" spans="1:7" ht="15" customHeight="1" x14ac:dyDescent="0.3">
      <c r="A75" s="50" t="s">
        <v>186</v>
      </c>
      <c r="B75" s="120" t="s">
        <v>369</v>
      </c>
      <c r="C75" s="120"/>
      <c r="D75" s="120"/>
      <c r="E75" s="120"/>
      <c r="F75" s="10">
        <v>0</v>
      </c>
      <c r="G75" s="15"/>
    </row>
    <row r="76" spans="1:7" ht="15" customHeight="1" x14ac:dyDescent="0.3">
      <c r="A76" s="50" t="s">
        <v>186</v>
      </c>
      <c r="B76" s="120" t="s">
        <v>370</v>
      </c>
      <c r="C76" s="120"/>
      <c r="D76" s="120"/>
      <c r="E76" s="120"/>
      <c r="F76" s="10">
        <v>1</v>
      </c>
      <c r="G76" s="15"/>
    </row>
    <row r="77" spans="1:7" ht="15" customHeight="1" x14ac:dyDescent="0.3">
      <c r="A77" s="50" t="s">
        <v>186</v>
      </c>
      <c r="B77" s="120" t="s">
        <v>371</v>
      </c>
      <c r="C77" s="120"/>
      <c r="D77" s="120"/>
      <c r="E77" s="120"/>
      <c r="F77" s="10">
        <v>3</v>
      </c>
      <c r="G77" s="15"/>
    </row>
    <row r="78" spans="1:7" ht="15" customHeight="1" x14ac:dyDescent="0.3">
      <c r="A78" s="50" t="s">
        <v>186</v>
      </c>
      <c r="B78" s="120" t="s">
        <v>372</v>
      </c>
      <c r="C78" s="120"/>
      <c r="D78" s="120"/>
      <c r="E78" s="120"/>
      <c r="F78" s="10">
        <v>4</v>
      </c>
      <c r="G78" s="15"/>
    </row>
    <row r="79" spans="1:7" ht="15" customHeight="1" x14ac:dyDescent="0.3">
      <c r="A79" s="50" t="s">
        <v>191</v>
      </c>
      <c r="B79" s="120" t="s">
        <v>373</v>
      </c>
      <c r="C79" s="120"/>
      <c r="D79" s="120"/>
      <c r="E79" s="120"/>
      <c r="F79" s="10">
        <v>0</v>
      </c>
      <c r="G79" s="15"/>
    </row>
    <row r="80" spans="1:7" ht="15" customHeight="1" x14ac:dyDescent="0.3">
      <c r="A80" s="50" t="s">
        <v>191</v>
      </c>
      <c r="B80" s="120" t="s">
        <v>604</v>
      </c>
      <c r="C80" s="120"/>
      <c r="D80" s="120"/>
      <c r="E80" s="120"/>
      <c r="F80" s="10">
        <v>2</v>
      </c>
      <c r="G80" s="15"/>
    </row>
    <row r="81" spans="1:7" ht="15" customHeight="1" x14ac:dyDescent="0.3">
      <c r="A81" s="50" t="s">
        <v>191</v>
      </c>
      <c r="B81" s="120" t="s">
        <v>605</v>
      </c>
      <c r="C81" s="120"/>
      <c r="D81" s="120"/>
      <c r="E81" s="120"/>
      <c r="F81" s="10">
        <v>3</v>
      </c>
      <c r="G81" s="15"/>
    </row>
    <row r="82" spans="1:7" ht="15" customHeight="1" x14ac:dyDescent="0.3">
      <c r="A82" s="50" t="s">
        <v>191</v>
      </c>
      <c r="B82" s="120" t="s">
        <v>374</v>
      </c>
      <c r="C82" s="120"/>
      <c r="D82" s="120"/>
      <c r="E82" s="120"/>
      <c r="F82" s="10">
        <v>4</v>
      </c>
      <c r="G82" s="15"/>
    </row>
    <row r="83" spans="1:7" ht="15" customHeight="1" x14ac:dyDescent="0.3">
      <c r="A83" s="50" t="s">
        <v>197</v>
      </c>
      <c r="B83" s="120" t="s">
        <v>375</v>
      </c>
      <c r="C83" s="120"/>
      <c r="D83" s="120"/>
      <c r="E83" s="120"/>
      <c r="F83" s="10">
        <v>0</v>
      </c>
      <c r="G83" s="15"/>
    </row>
    <row r="84" spans="1:7" ht="15" customHeight="1" x14ac:dyDescent="0.3">
      <c r="A84" s="50" t="s">
        <v>197</v>
      </c>
      <c r="B84" s="120" t="s">
        <v>376</v>
      </c>
      <c r="C84" s="120"/>
      <c r="D84" s="120"/>
      <c r="E84" s="120"/>
      <c r="F84" s="10">
        <v>2</v>
      </c>
      <c r="G84" s="15"/>
    </row>
    <row r="85" spans="1:7" ht="15" customHeight="1" x14ac:dyDescent="0.3">
      <c r="A85" s="50" t="s">
        <v>197</v>
      </c>
      <c r="B85" s="120" t="s">
        <v>377</v>
      </c>
      <c r="C85" s="120"/>
      <c r="D85" s="120"/>
      <c r="E85" s="120"/>
      <c r="F85" s="10">
        <v>4</v>
      </c>
      <c r="G85" s="15"/>
    </row>
    <row r="86" spans="1:7" ht="15" customHeight="1" x14ac:dyDescent="0.3">
      <c r="A86" s="50" t="s">
        <v>202</v>
      </c>
      <c r="B86" s="120" t="s">
        <v>378</v>
      </c>
      <c r="C86" s="120"/>
      <c r="D86" s="120"/>
      <c r="E86" s="120"/>
      <c r="F86" s="10">
        <v>0</v>
      </c>
      <c r="G86" s="15"/>
    </row>
    <row r="87" spans="1:7" ht="15" customHeight="1" x14ac:dyDescent="0.3">
      <c r="A87" s="50" t="s">
        <v>202</v>
      </c>
      <c r="B87" s="120" t="s">
        <v>379</v>
      </c>
      <c r="C87" s="120"/>
      <c r="D87" s="120"/>
      <c r="E87" s="120"/>
      <c r="F87" s="10">
        <v>2</v>
      </c>
      <c r="G87" s="15"/>
    </row>
    <row r="88" spans="1:7" ht="15" customHeight="1" x14ac:dyDescent="0.3">
      <c r="A88" s="50" t="s">
        <v>202</v>
      </c>
      <c r="B88" s="120" t="s">
        <v>588</v>
      </c>
      <c r="C88" s="120"/>
      <c r="D88" s="120"/>
      <c r="E88" s="120"/>
      <c r="F88" s="10">
        <v>3</v>
      </c>
      <c r="G88" s="15"/>
    </row>
    <row r="89" spans="1:7" ht="15" customHeight="1" x14ac:dyDescent="0.3">
      <c r="A89" s="50" t="s">
        <v>202</v>
      </c>
      <c r="B89" s="120" t="s">
        <v>589</v>
      </c>
      <c r="C89" s="120"/>
      <c r="D89" s="120"/>
      <c r="E89" s="120"/>
      <c r="F89" s="10">
        <v>1</v>
      </c>
      <c r="G89" s="15"/>
    </row>
    <row r="90" spans="1:7" ht="15" customHeight="1" x14ac:dyDescent="0.3">
      <c r="A90" s="50" t="s">
        <v>205</v>
      </c>
      <c r="B90" s="120" t="s">
        <v>380</v>
      </c>
      <c r="C90" s="120"/>
      <c r="D90" s="120"/>
      <c r="E90" s="120"/>
      <c r="F90" s="10">
        <v>0</v>
      </c>
      <c r="G90" s="15"/>
    </row>
    <row r="91" spans="1:7" ht="15" customHeight="1" x14ac:dyDescent="0.3">
      <c r="A91" s="50" t="s">
        <v>205</v>
      </c>
      <c r="B91" s="120" t="s">
        <v>378</v>
      </c>
      <c r="C91" s="120"/>
      <c r="D91" s="120"/>
      <c r="E91" s="120"/>
      <c r="F91" s="10">
        <v>0</v>
      </c>
      <c r="G91" s="15"/>
    </row>
    <row r="92" spans="1:7" ht="15" customHeight="1" x14ac:dyDescent="0.3">
      <c r="A92" s="50" t="s">
        <v>205</v>
      </c>
      <c r="B92" s="120" t="s">
        <v>379</v>
      </c>
      <c r="C92" s="120"/>
      <c r="D92" s="120"/>
      <c r="E92" s="120"/>
      <c r="F92" s="10">
        <v>1</v>
      </c>
      <c r="G92" s="15"/>
    </row>
    <row r="93" spans="1:7" ht="15" customHeight="1" x14ac:dyDescent="0.3">
      <c r="A93" s="50" t="s">
        <v>205</v>
      </c>
      <c r="B93" s="120" t="s">
        <v>381</v>
      </c>
      <c r="C93" s="120"/>
      <c r="D93" s="120"/>
      <c r="E93" s="120"/>
      <c r="F93" s="10">
        <v>2</v>
      </c>
      <c r="G93" s="15"/>
    </row>
    <row r="94" spans="1:7" ht="15" customHeight="1" x14ac:dyDescent="0.3">
      <c r="A94" s="50" t="s">
        <v>208</v>
      </c>
      <c r="B94" s="120" t="s">
        <v>382</v>
      </c>
      <c r="C94" s="120"/>
      <c r="D94" s="120"/>
      <c r="E94" s="120"/>
      <c r="F94" s="10">
        <v>0</v>
      </c>
      <c r="G94" s="15"/>
    </row>
    <row r="95" spans="1:7" ht="15" customHeight="1" x14ac:dyDescent="0.3">
      <c r="A95" s="50" t="s">
        <v>208</v>
      </c>
      <c r="B95" s="120" t="s">
        <v>383</v>
      </c>
      <c r="C95" s="120"/>
      <c r="D95" s="120"/>
      <c r="E95" s="120"/>
      <c r="F95" s="10">
        <v>2</v>
      </c>
      <c r="G95" s="15"/>
    </row>
    <row r="96" spans="1:7" ht="15" customHeight="1" x14ac:dyDescent="0.3">
      <c r="A96" s="50" t="s">
        <v>208</v>
      </c>
      <c r="B96" s="120" t="s">
        <v>590</v>
      </c>
      <c r="C96" s="120"/>
      <c r="D96" s="120"/>
      <c r="E96" s="120"/>
      <c r="F96" s="10">
        <v>4</v>
      </c>
      <c r="G96" s="15"/>
    </row>
    <row r="97" spans="1:7" ht="15" customHeight="1" x14ac:dyDescent="0.3">
      <c r="A97" s="50" t="s">
        <v>211</v>
      </c>
      <c r="B97" s="120" t="s">
        <v>384</v>
      </c>
      <c r="C97" s="120"/>
      <c r="D97" s="120"/>
      <c r="E97" s="120"/>
      <c r="F97" s="10">
        <v>0</v>
      </c>
      <c r="G97" s="15"/>
    </row>
    <row r="98" spans="1:7" ht="15" customHeight="1" x14ac:dyDescent="0.3">
      <c r="A98" s="50" t="s">
        <v>211</v>
      </c>
      <c r="B98" s="120" t="s">
        <v>385</v>
      </c>
      <c r="C98" s="120"/>
      <c r="D98" s="120"/>
      <c r="E98" s="120"/>
      <c r="F98" s="10">
        <v>1</v>
      </c>
      <c r="G98" s="15"/>
    </row>
    <row r="99" spans="1:7" ht="15" customHeight="1" x14ac:dyDescent="0.3">
      <c r="A99" s="50" t="s">
        <v>211</v>
      </c>
      <c r="B99" s="120" t="s">
        <v>386</v>
      </c>
      <c r="C99" s="120"/>
      <c r="D99" s="120"/>
      <c r="E99" s="120"/>
      <c r="F99" s="10">
        <v>3</v>
      </c>
      <c r="G99" s="15"/>
    </row>
    <row r="100" spans="1:7" ht="15" customHeight="1" x14ac:dyDescent="0.3">
      <c r="A100" s="50" t="s">
        <v>216</v>
      </c>
      <c r="B100" s="120" t="s">
        <v>591</v>
      </c>
      <c r="C100" s="120"/>
      <c r="D100" s="120"/>
      <c r="E100" s="120"/>
      <c r="F100" s="10">
        <v>0</v>
      </c>
      <c r="G100" s="15"/>
    </row>
    <row r="101" spans="1:7" ht="15" customHeight="1" x14ac:dyDescent="0.3">
      <c r="A101" s="50" t="s">
        <v>216</v>
      </c>
      <c r="B101" s="120" t="s">
        <v>592</v>
      </c>
      <c r="C101" s="120"/>
      <c r="D101" s="120"/>
      <c r="E101" s="120"/>
      <c r="F101" s="10">
        <v>2</v>
      </c>
      <c r="G101" s="15"/>
    </row>
    <row r="102" spans="1:7" ht="15" customHeight="1" x14ac:dyDescent="0.3">
      <c r="A102" s="50" t="s">
        <v>216</v>
      </c>
      <c r="B102" s="120" t="s">
        <v>387</v>
      </c>
      <c r="C102" s="120"/>
      <c r="D102" s="120"/>
      <c r="E102" s="120"/>
      <c r="F102" s="10">
        <v>4</v>
      </c>
      <c r="G102" s="15"/>
    </row>
    <row r="103" spans="1:7" ht="15" customHeight="1" x14ac:dyDescent="0.3">
      <c r="A103" s="50" t="s">
        <v>219</v>
      </c>
      <c r="B103" s="120" t="s">
        <v>388</v>
      </c>
      <c r="C103" s="120"/>
      <c r="D103" s="120"/>
      <c r="E103" s="120"/>
      <c r="F103" s="10">
        <v>0</v>
      </c>
      <c r="G103" s="15"/>
    </row>
    <row r="104" spans="1:7" ht="15" customHeight="1" x14ac:dyDescent="0.3">
      <c r="A104" s="50" t="s">
        <v>219</v>
      </c>
      <c r="B104" s="120" t="s">
        <v>389</v>
      </c>
      <c r="C104" s="120"/>
      <c r="D104" s="120"/>
      <c r="E104" s="120"/>
      <c r="F104" s="10">
        <v>2</v>
      </c>
      <c r="G104" s="15"/>
    </row>
    <row r="105" spans="1:7" ht="15" customHeight="1" x14ac:dyDescent="0.3">
      <c r="A105" s="50" t="s">
        <v>219</v>
      </c>
      <c r="B105" s="120" t="s">
        <v>390</v>
      </c>
      <c r="C105" s="120"/>
      <c r="D105" s="120"/>
      <c r="E105" s="120"/>
      <c r="F105" s="10">
        <v>4</v>
      </c>
      <c r="G105" s="15"/>
    </row>
    <row r="106" spans="1:7" ht="15" customHeight="1" x14ac:dyDescent="0.3">
      <c r="A106" s="50" t="s">
        <v>222</v>
      </c>
      <c r="B106" s="120" t="s">
        <v>391</v>
      </c>
      <c r="C106" s="120"/>
      <c r="D106" s="120"/>
      <c r="E106" s="120"/>
      <c r="F106" s="10">
        <v>0</v>
      </c>
      <c r="G106" s="15"/>
    </row>
    <row r="107" spans="1:7" ht="15" customHeight="1" x14ac:dyDescent="0.3">
      <c r="A107" s="50" t="s">
        <v>222</v>
      </c>
      <c r="B107" s="120" t="s">
        <v>392</v>
      </c>
      <c r="C107" s="120"/>
      <c r="D107" s="120"/>
      <c r="E107" s="120"/>
      <c r="F107" s="10">
        <v>1</v>
      </c>
      <c r="G107" s="15"/>
    </row>
    <row r="108" spans="1:7" ht="15" customHeight="1" x14ac:dyDescent="0.3">
      <c r="A108" s="50" t="s">
        <v>222</v>
      </c>
      <c r="B108" s="120" t="s">
        <v>393</v>
      </c>
      <c r="C108" s="120"/>
      <c r="D108" s="120"/>
      <c r="E108" s="120"/>
      <c r="F108" s="10">
        <v>3</v>
      </c>
      <c r="G108" s="15"/>
    </row>
    <row r="109" spans="1:7" ht="15" customHeight="1" x14ac:dyDescent="0.3">
      <c r="A109" s="50" t="s">
        <v>222</v>
      </c>
      <c r="B109" s="120" t="s">
        <v>394</v>
      </c>
      <c r="C109" s="120"/>
      <c r="D109" s="120"/>
      <c r="E109" s="120"/>
      <c r="F109" s="10">
        <v>4</v>
      </c>
      <c r="G109" s="15"/>
    </row>
    <row r="110" spans="1:7" ht="15" customHeight="1" x14ac:dyDescent="0.3">
      <c r="A110" s="50" t="s">
        <v>225</v>
      </c>
      <c r="B110" s="120" t="s">
        <v>395</v>
      </c>
      <c r="C110" s="120"/>
      <c r="D110" s="120"/>
      <c r="E110" s="120"/>
      <c r="F110" s="10">
        <v>0</v>
      </c>
      <c r="G110" s="15"/>
    </row>
    <row r="111" spans="1:7" ht="15" customHeight="1" x14ac:dyDescent="0.3">
      <c r="A111" s="50" t="s">
        <v>225</v>
      </c>
      <c r="B111" s="120" t="s">
        <v>396</v>
      </c>
      <c r="C111" s="120"/>
      <c r="D111" s="120"/>
      <c r="E111" s="120"/>
      <c r="F111" s="10">
        <v>2</v>
      </c>
      <c r="G111" s="15"/>
    </row>
    <row r="112" spans="1:7" ht="15" customHeight="1" x14ac:dyDescent="0.3">
      <c r="A112" s="50" t="s">
        <v>225</v>
      </c>
      <c r="B112" s="120" t="s">
        <v>397</v>
      </c>
      <c r="C112" s="120"/>
      <c r="D112" s="120"/>
      <c r="E112" s="120"/>
      <c r="F112" s="10">
        <v>4</v>
      </c>
      <c r="G112" s="15"/>
    </row>
    <row r="113" spans="1:7" ht="15" customHeight="1" x14ac:dyDescent="0.3">
      <c r="A113" s="50" t="s">
        <v>228</v>
      </c>
      <c r="B113" s="120" t="s">
        <v>398</v>
      </c>
      <c r="C113" s="120"/>
      <c r="D113" s="120"/>
      <c r="E113" s="120"/>
      <c r="F113" s="10">
        <v>0</v>
      </c>
      <c r="G113" s="15"/>
    </row>
    <row r="114" spans="1:7" ht="15" customHeight="1" x14ac:dyDescent="0.3">
      <c r="A114" s="50" t="s">
        <v>228</v>
      </c>
      <c r="B114" s="120" t="s">
        <v>399</v>
      </c>
      <c r="C114" s="120"/>
      <c r="D114" s="120"/>
      <c r="E114" s="120"/>
      <c r="F114" s="10">
        <v>2</v>
      </c>
      <c r="G114" s="15"/>
    </row>
    <row r="115" spans="1:7" ht="15" customHeight="1" x14ac:dyDescent="0.3">
      <c r="A115" s="50" t="s">
        <v>228</v>
      </c>
      <c r="B115" s="120" t="s">
        <v>400</v>
      </c>
      <c r="C115" s="120"/>
      <c r="D115" s="120"/>
      <c r="E115" s="120"/>
      <c r="F115" s="10">
        <v>4</v>
      </c>
      <c r="G115" s="15"/>
    </row>
    <row r="116" spans="1:7" ht="15" customHeight="1" x14ac:dyDescent="0.3">
      <c r="A116" s="50" t="s">
        <v>233</v>
      </c>
      <c r="B116" s="120" t="s">
        <v>401</v>
      </c>
      <c r="C116" s="120"/>
      <c r="D116" s="120"/>
      <c r="E116" s="120"/>
      <c r="F116" s="10">
        <v>0</v>
      </c>
      <c r="G116" s="15"/>
    </row>
    <row r="117" spans="1:7" ht="15" customHeight="1" x14ac:dyDescent="0.3">
      <c r="A117" s="50" t="s">
        <v>233</v>
      </c>
      <c r="B117" s="120" t="s">
        <v>402</v>
      </c>
      <c r="C117" s="120"/>
      <c r="D117" s="120"/>
      <c r="E117" s="120"/>
      <c r="F117" s="10">
        <v>1</v>
      </c>
      <c r="G117" s="15"/>
    </row>
    <row r="118" spans="1:7" ht="15" customHeight="1" x14ac:dyDescent="0.3">
      <c r="A118" s="50" t="s">
        <v>233</v>
      </c>
      <c r="B118" s="120" t="s">
        <v>403</v>
      </c>
      <c r="C118" s="120"/>
      <c r="D118" s="120"/>
      <c r="E118" s="120"/>
      <c r="F118" s="10">
        <v>2</v>
      </c>
      <c r="G118" s="15"/>
    </row>
    <row r="119" spans="1:7" ht="15" customHeight="1" x14ac:dyDescent="0.3">
      <c r="A119" s="50" t="s">
        <v>233</v>
      </c>
      <c r="B119" s="120" t="s">
        <v>593</v>
      </c>
      <c r="C119" s="120"/>
      <c r="D119" s="120"/>
      <c r="E119" s="120"/>
      <c r="F119" s="10">
        <v>4</v>
      </c>
      <c r="G119" s="15"/>
    </row>
    <row r="120" spans="1:7" ht="15" customHeight="1" x14ac:dyDescent="0.3">
      <c r="A120" s="50" t="s">
        <v>239</v>
      </c>
      <c r="B120" s="120" t="s">
        <v>404</v>
      </c>
      <c r="C120" s="120"/>
      <c r="D120" s="120"/>
      <c r="E120" s="120"/>
      <c r="F120" s="10">
        <v>0</v>
      </c>
      <c r="G120" s="15"/>
    </row>
    <row r="121" spans="1:7" ht="15" customHeight="1" x14ac:dyDescent="0.3">
      <c r="A121" s="50" t="s">
        <v>239</v>
      </c>
      <c r="B121" s="120" t="s">
        <v>405</v>
      </c>
      <c r="C121" s="120"/>
      <c r="D121" s="120"/>
      <c r="E121" s="120"/>
      <c r="F121" s="10">
        <v>2</v>
      </c>
      <c r="G121" s="15"/>
    </row>
    <row r="122" spans="1:7" ht="15" customHeight="1" x14ac:dyDescent="0.3">
      <c r="A122" s="50" t="s">
        <v>239</v>
      </c>
      <c r="B122" s="120" t="s">
        <v>406</v>
      </c>
      <c r="C122" s="120"/>
      <c r="D122" s="120"/>
      <c r="E122" s="120"/>
      <c r="F122" s="10">
        <v>4</v>
      </c>
      <c r="G122" s="15"/>
    </row>
    <row r="123" spans="1:7" ht="15" customHeight="1" x14ac:dyDescent="0.3">
      <c r="A123" s="50" t="s">
        <v>242</v>
      </c>
      <c r="B123" s="120" t="s">
        <v>407</v>
      </c>
      <c r="C123" s="120"/>
      <c r="D123" s="120"/>
      <c r="E123" s="120"/>
      <c r="F123" s="10">
        <v>0</v>
      </c>
      <c r="G123" s="15"/>
    </row>
    <row r="124" spans="1:7" ht="15" customHeight="1" x14ac:dyDescent="0.3">
      <c r="A124" s="50" t="s">
        <v>242</v>
      </c>
      <c r="B124" s="120" t="s">
        <v>408</v>
      </c>
      <c r="C124" s="120"/>
      <c r="D124" s="120"/>
      <c r="E124" s="120"/>
      <c r="F124" s="10">
        <v>2</v>
      </c>
      <c r="G124" s="15"/>
    </row>
    <row r="125" spans="1:7" ht="15" customHeight="1" x14ac:dyDescent="0.3">
      <c r="A125" s="50" t="s">
        <v>242</v>
      </c>
      <c r="B125" s="120" t="s">
        <v>594</v>
      </c>
      <c r="C125" s="120"/>
      <c r="D125" s="120"/>
      <c r="E125" s="120"/>
      <c r="F125" s="10">
        <v>4</v>
      </c>
      <c r="G125" s="15"/>
    </row>
    <row r="126" spans="1:7" ht="15" customHeight="1" x14ac:dyDescent="0.3">
      <c r="A126" s="50" t="s">
        <v>247</v>
      </c>
      <c r="B126" s="120" t="s">
        <v>409</v>
      </c>
      <c r="C126" s="120"/>
      <c r="D126" s="120"/>
      <c r="E126" s="120"/>
      <c r="F126" s="10">
        <v>0</v>
      </c>
      <c r="G126" s="15"/>
    </row>
    <row r="127" spans="1:7" ht="15" customHeight="1" x14ac:dyDescent="0.3">
      <c r="A127" s="50" t="s">
        <v>247</v>
      </c>
      <c r="B127" s="120" t="s">
        <v>595</v>
      </c>
      <c r="C127" s="120"/>
      <c r="D127" s="120"/>
      <c r="E127" s="120"/>
      <c r="F127" s="10">
        <v>1</v>
      </c>
      <c r="G127" s="15"/>
    </row>
    <row r="128" spans="1:7" ht="15" customHeight="1" x14ac:dyDescent="0.3">
      <c r="A128" s="50" t="s">
        <v>247</v>
      </c>
      <c r="B128" s="120" t="s">
        <v>596</v>
      </c>
      <c r="C128" s="120"/>
      <c r="D128" s="120"/>
      <c r="E128" s="120"/>
      <c r="F128" s="10">
        <v>4</v>
      </c>
      <c r="G128" s="15"/>
    </row>
    <row r="129" spans="1:7" ht="15" customHeight="1" x14ac:dyDescent="0.3">
      <c r="A129" s="50" t="s">
        <v>250</v>
      </c>
      <c r="B129" s="120" t="s">
        <v>410</v>
      </c>
      <c r="C129" s="120"/>
      <c r="D129" s="120"/>
      <c r="E129" s="120"/>
      <c r="F129" s="10">
        <v>0</v>
      </c>
      <c r="G129" s="15"/>
    </row>
    <row r="130" spans="1:7" ht="15" customHeight="1" x14ac:dyDescent="0.3">
      <c r="A130" s="50" t="s">
        <v>250</v>
      </c>
      <c r="B130" s="120" t="s">
        <v>411</v>
      </c>
      <c r="C130" s="120"/>
      <c r="D130" s="120"/>
      <c r="E130" s="120"/>
      <c r="F130" s="10">
        <v>2</v>
      </c>
      <c r="G130" s="15"/>
    </row>
    <row r="131" spans="1:7" ht="15" customHeight="1" x14ac:dyDescent="0.3">
      <c r="A131" s="50" t="s">
        <v>250</v>
      </c>
      <c r="B131" s="120" t="s">
        <v>412</v>
      </c>
      <c r="C131" s="120"/>
      <c r="D131" s="120"/>
      <c r="E131" s="120"/>
      <c r="F131" s="10">
        <v>4</v>
      </c>
      <c r="G131" s="15"/>
    </row>
    <row r="132" spans="1:7" ht="15" customHeight="1" x14ac:dyDescent="0.3">
      <c r="A132" s="50" t="s">
        <v>253</v>
      </c>
      <c r="B132" s="120" t="s">
        <v>413</v>
      </c>
      <c r="C132" s="120"/>
      <c r="D132" s="120"/>
      <c r="E132" s="120"/>
      <c r="F132" s="10">
        <v>0</v>
      </c>
      <c r="G132" s="15"/>
    </row>
    <row r="133" spans="1:7" ht="15" customHeight="1" x14ac:dyDescent="0.3">
      <c r="A133" s="50" t="s">
        <v>253</v>
      </c>
      <c r="B133" s="120" t="s">
        <v>597</v>
      </c>
      <c r="C133" s="120"/>
      <c r="D133" s="120"/>
      <c r="E133" s="120"/>
      <c r="F133" s="10">
        <v>2</v>
      </c>
      <c r="G133" s="15"/>
    </row>
    <row r="134" spans="1:7" ht="15" customHeight="1" x14ac:dyDescent="0.3">
      <c r="A134" s="50" t="s">
        <v>253</v>
      </c>
      <c r="B134" s="120" t="s">
        <v>598</v>
      </c>
      <c r="C134" s="120"/>
      <c r="D134" s="120"/>
      <c r="E134" s="120"/>
      <c r="F134" s="10">
        <v>4</v>
      </c>
      <c r="G134" s="15"/>
    </row>
    <row r="135" spans="1:7" ht="15" customHeight="1" x14ac:dyDescent="0.3">
      <c r="A135" s="50" t="s">
        <v>256</v>
      </c>
      <c r="B135" s="120" t="s">
        <v>414</v>
      </c>
      <c r="C135" s="120"/>
      <c r="D135" s="120"/>
      <c r="E135" s="120"/>
      <c r="F135" s="10">
        <v>0</v>
      </c>
      <c r="G135" s="15"/>
    </row>
    <row r="136" spans="1:7" ht="15" customHeight="1" x14ac:dyDescent="0.3">
      <c r="A136" s="50" t="s">
        <v>256</v>
      </c>
      <c r="B136" s="120" t="s">
        <v>415</v>
      </c>
      <c r="C136" s="120"/>
      <c r="D136" s="120"/>
      <c r="E136" s="120"/>
      <c r="F136" s="10">
        <v>2</v>
      </c>
      <c r="G136" s="15"/>
    </row>
    <row r="137" spans="1:7" ht="15" customHeight="1" x14ac:dyDescent="0.3">
      <c r="A137" s="50" t="s">
        <v>256</v>
      </c>
      <c r="B137" s="120" t="s">
        <v>416</v>
      </c>
      <c r="C137" s="120"/>
      <c r="D137" s="120"/>
      <c r="E137" s="120"/>
      <c r="F137" s="10">
        <v>4</v>
      </c>
      <c r="G137" s="15"/>
    </row>
    <row r="138" spans="1:7" ht="15" customHeight="1" x14ac:dyDescent="0.3">
      <c r="A138" s="50" t="s">
        <v>261</v>
      </c>
      <c r="B138" s="120" t="s">
        <v>417</v>
      </c>
      <c r="C138" s="120"/>
      <c r="D138" s="120"/>
      <c r="E138" s="120"/>
      <c r="F138" s="10">
        <v>0</v>
      </c>
      <c r="G138" s="15"/>
    </row>
    <row r="139" spans="1:7" ht="15" customHeight="1" x14ac:dyDescent="0.3">
      <c r="A139" s="50" t="s">
        <v>261</v>
      </c>
      <c r="B139" s="120" t="s">
        <v>418</v>
      </c>
      <c r="C139" s="120"/>
      <c r="D139" s="120"/>
      <c r="E139" s="120"/>
      <c r="F139" s="10">
        <v>2</v>
      </c>
      <c r="G139" s="15"/>
    </row>
    <row r="140" spans="1:7" ht="15" customHeight="1" x14ac:dyDescent="0.3">
      <c r="A140" s="50" t="s">
        <v>261</v>
      </c>
      <c r="B140" s="120" t="s">
        <v>419</v>
      </c>
      <c r="C140" s="120"/>
      <c r="D140" s="120"/>
      <c r="E140" s="120"/>
      <c r="F140" s="10">
        <v>4</v>
      </c>
      <c r="G140" s="15"/>
    </row>
    <row r="141" spans="1:7" ht="15" customHeight="1" x14ac:dyDescent="0.3">
      <c r="A141" s="50" t="s">
        <v>264</v>
      </c>
      <c r="B141" s="120" t="s">
        <v>417</v>
      </c>
      <c r="C141" s="120"/>
      <c r="D141" s="120"/>
      <c r="E141" s="120"/>
      <c r="F141" s="10">
        <v>0</v>
      </c>
      <c r="G141" s="15"/>
    </row>
    <row r="142" spans="1:7" ht="15" customHeight="1" x14ac:dyDescent="0.3">
      <c r="A142" s="50" t="s">
        <v>264</v>
      </c>
      <c r="B142" s="120" t="s">
        <v>418</v>
      </c>
      <c r="C142" s="120"/>
      <c r="D142" s="120"/>
      <c r="E142" s="120"/>
      <c r="F142" s="10">
        <v>2</v>
      </c>
      <c r="G142" s="15"/>
    </row>
    <row r="143" spans="1:7" ht="15" customHeight="1" x14ac:dyDescent="0.3">
      <c r="A143" s="50" t="s">
        <v>264</v>
      </c>
      <c r="B143" s="120" t="s">
        <v>419</v>
      </c>
      <c r="C143" s="120"/>
      <c r="D143" s="120"/>
      <c r="E143" s="120"/>
      <c r="F143" s="10">
        <v>4</v>
      </c>
      <c r="G143" s="15"/>
    </row>
    <row r="144" spans="1:7" ht="15" customHeight="1" x14ac:dyDescent="0.3">
      <c r="A144" s="50" t="s">
        <v>267</v>
      </c>
      <c r="B144" s="120" t="s">
        <v>420</v>
      </c>
      <c r="C144" s="120"/>
      <c r="D144" s="120"/>
      <c r="E144" s="120"/>
      <c r="F144" s="10">
        <v>0</v>
      </c>
      <c r="G144" s="15"/>
    </row>
    <row r="145" spans="1:7" ht="15" customHeight="1" x14ac:dyDescent="0.3">
      <c r="A145" s="50" t="s">
        <v>267</v>
      </c>
      <c r="B145" s="120" t="s">
        <v>421</v>
      </c>
      <c r="C145" s="120"/>
      <c r="D145" s="120"/>
      <c r="E145" s="120"/>
      <c r="F145" s="10">
        <v>2</v>
      </c>
      <c r="G145" s="15"/>
    </row>
    <row r="146" spans="1:7" ht="15" customHeight="1" x14ac:dyDescent="0.3">
      <c r="A146" s="50" t="s">
        <v>267</v>
      </c>
      <c r="B146" s="120" t="s">
        <v>422</v>
      </c>
      <c r="C146" s="120"/>
      <c r="D146" s="120"/>
      <c r="E146" s="120"/>
      <c r="F146" s="10">
        <v>4</v>
      </c>
      <c r="G146" s="15"/>
    </row>
    <row r="147" spans="1:7" ht="15" customHeight="1" x14ac:dyDescent="0.3">
      <c r="A147" s="50" t="s">
        <v>270</v>
      </c>
      <c r="B147" s="120" t="s">
        <v>413</v>
      </c>
      <c r="C147" s="120"/>
      <c r="D147" s="120"/>
      <c r="E147" s="120"/>
      <c r="F147" s="10">
        <v>0</v>
      </c>
      <c r="G147" s="15"/>
    </row>
    <row r="148" spans="1:7" ht="15" customHeight="1" x14ac:dyDescent="0.3">
      <c r="A148" s="50" t="s">
        <v>270</v>
      </c>
      <c r="B148" s="120" t="s">
        <v>599</v>
      </c>
      <c r="C148" s="120"/>
      <c r="D148" s="120"/>
      <c r="E148" s="120"/>
      <c r="F148" s="10">
        <v>1</v>
      </c>
      <c r="G148" s="15"/>
    </row>
    <row r="149" spans="1:7" ht="15" customHeight="1" x14ac:dyDescent="0.3">
      <c r="A149" s="50" t="s">
        <v>270</v>
      </c>
      <c r="B149" s="120" t="s">
        <v>600</v>
      </c>
      <c r="C149" s="120"/>
      <c r="D149" s="120"/>
      <c r="E149" s="120"/>
      <c r="F149" s="10">
        <v>3</v>
      </c>
      <c r="G149" s="15"/>
    </row>
    <row r="150" spans="1:7" ht="15" customHeight="1" x14ac:dyDescent="0.3">
      <c r="A150" s="50" t="s">
        <v>273</v>
      </c>
      <c r="B150" s="120" t="s">
        <v>423</v>
      </c>
      <c r="C150" s="120"/>
      <c r="D150" s="120"/>
      <c r="E150" s="120"/>
      <c r="F150" s="10">
        <v>0</v>
      </c>
      <c r="G150" s="15"/>
    </row>
    <row r="151" spans="1:7" ht="15" customHeight="1" x14ac:dyDescent="0.3">
      <c r="A151" s="50" t="s">
        <v>273</v>
      </c>
      <c r="B151" s="120" t="s">
        <v>601</v>
      </c>
      <c r="C151" s="120"/>
      <c r="D151" s="120"/>
      <c r="E151" s="120"/>
      <c r="F151" s="10">
        <v>2</v>
      </c>
      <c r="G151" s="15"/>
    </row>
    <row r="152" spans="1:7" ht="15" customHeight="1" x14ac:dyDescent="0.3">
      <c r="A152" s="50" t="s">
        <v>273</v>
      </c>
      <c r="B152" s="120" t="s">
        <v>602</v>
      </c>
      <c r="C152" s="120"/>
      <c r="D152" s="120"/>
      <c r="E152" s="120"/>
      <c r="F152" s="10">
        <v>4</v>
      </c>
      <c r="G152" s="15"/>
    </row>
    <row r="153" spans="1:7" ht="15" customHeight="1" x14ac:dyDescent="0.3">
      <c r="A153" s="50" t="s">
        <v>278</v>
      </c>
      <c r="B153" s="120" t="s">
        <v>603</v>
      </c>
      <c r="C153" s="120"/>
      <c r="D153" s="120"/>
      <c r="E153" s="120"/>
      <c r="F153" s="10">
        <v>0</v>
      </c>
      <c r="G153" s="15"/>
    </row>
    <row r="154" spans="1:7" ht="15" customHeight="1" x14ac:dyDescent="0.3">
      <c r="A154" s="50" t="s">
        <v>278</v>
      </c>
      <c r="B154" s="120" t="s">
        <v>424</v>
      </c>
      <c r="C154" s="120"/>
      <c r="D154" s="120"/>
      <c r="E154" s="120"/>
      <c r="F154" s="10">
        <v>2</v>
      </c>
      <c r="G154" s="15"/>
    </row>
    <row r="155" spans="1:7" ht="15" customHeight="1" x14ac:dyDescent="0.3">
      <c r="A155" s="50" t="s">
        <v>278</v>
      </c>
      <c r="B155" s="120" t="s">
        <v>425</v>
      </c>
      <c r="C155" s="120"/>
      <c r="D155" s="120"/>
      <c r="E155" s="120"/>
      <c r="F155" s="10">
        <v>4</v>
      </c>
      <c r="G155" s="15"/>
    </row>
    <row r="156" spans="1:7" ht="15" customHeight="1" x14ac:dyDescent="0.3">
      <c r="A156" s="50" t="s">
        <v>281</v>
      </c>
      <c r="B156" s="120" t="s">
        <v>426</v>
      </c>
      <c r="C156" s="120"/>
      <c r="D156" s="120"/>
      <c r="E156" s="120"/>
      <c r="F156" s="10">
        <v>0</v>
      </c>
      <c r="G156" s="15"/>
    </row>
    <row r="157" spans="1:7" ht="15" customHeight="1" x14ac:dyDescent="0.3">
      <c r="A157" s="50" t="s">
        <v>281</v>
      </c>
      <c r="B157" s="120" t="s">
        <v>427</v>
      </c>
      <c r="C157" s="120"/>
      <c r="D157" s="120"/>
      <c r="E157" s="120"/>
      <c r="F157" s="10">
        <v>2</v>
      </c>
      <c r="G157" s="15"/>
    </row>
    <row r="158" spans="1:7" ht="15" customHeight="1" x14ac:dyDescent="0.3">
      <c r="A158" s="50" t="s">
        <v>281</v>
      </c>
      <c r="B158" s="120" t="s">
        <v>428</v>
      </c>
      <c r="C158" s="120"/>
      <c r="D158" s="120"/>
      <c r="E158" s="120"/>
      <c r="F158" s="10">
        <v>4</v>
      </c>
      <c r="G158" s="15"/>
    </row>
    <row r="159" spans="1:7" ht="15" customHeight="1" x14ac:dyDescent="0.3">
      <c r="A159" s="50" t="s">
        <v>284</v>
      </c>
      <c r="B159" s="120" t="s">
        <v>429</v>
      </c>
      <c r="C159" s="120"/>
      <c r="D159" s="120"/>
      <c r="E159" s="120"/>
      <c r="F159" s="10">
        <v>0</v>
      </c>
      <c r="G159" s="15"/>
    </row>
    <row r="160" spans="1:7" ht="15" customHeight="1" x14ac:dyDescent="0.3">
      <c r="A160" s="50" t="s">
        <v>284</v>
      </c>
      <c r="B160" s="120" t="s">
        <v>430</v>
      </c>
      <c r="C160" s="120"/>
      <c r="D160" s="120"/>
      <c r="E160" s="120"/>
      <c r="F160" s="10">
        <v>2</v>
      </c>
      <c r="G160" s="15"/>
    </row>
    <row r="161" spans="1:7" ht="15" customHeight="1" x14ac:dyDescent="0.3">
      <c r="A161" s="50" t="s">
        <v>284</v>
      </c>
      <c r="B161" s="120" t="s">
        <v>431</v>
      </c>
      <c r="C161" s="120"/>
      <c r="D161" s="120"/>
      <c r="E161" s="120"/>
      <c r="F161" s="10">
        <v>4</v>
      </c>
      <c r="G161" s="15"/>
    </row>
    <row r="163" spans="1:7" ht="19.5" customHeight="1" x14ac:dyDescent="0.3">
      <c r="A163" s="119" t="s">
        <v>432</v>
      </c>
      <c r="B163" s="119"/>
      <c r="C163" s="119"/>
      <c r="D163" s="119"/>
      <c r="E163" s="119"/>
      <c r="F163" s="119"/>
      <c r="G163" s="119"/>
    </row>
    <row r="164" spans="1:7" ht="27.75" customHeight="1" x14ac:dyDescent="0.3">
      <c r="A164" s="1" t="s">
        <v>433</v>
      </c>
      <c r="B164" s="1" t="s">
        <v>434</v>
      </c>
      <c r="C164" s="1" t="s">
        <v>435</v>
      </c>
      <c r="D164" s="1" t="s">
        <v>42</v>
      </c>
      <c r="E164" s="1" t="s">
        <v>436</v>
      </c>
      <c r="F164" s="1"/>
      <c r="G164" s="1"/>
    </row>
    <row r="165" spans="1:7" ht="28.8" x14ac:dyDescent="0.3">
      <c r="A165" s="11" t="s">
        <v>43</v>
      </c>
      <c r="B165" s="24">
        <v>0</v>
      </c>
      <c r="C165" s="24">
        <v>20</v>
      </c>
      <c r="D165" s="16" t="s">
        <v>45</v>
      </c>
      <c r="E165" s="2" t="s">
        <v>437</v>
      </c>
    </row>
    <row r="166" spans="1:7" ht="28.8" x14ac:dyDescent="0.3">
      <c r="A166" s="11" t="s">
        <v>31</v>
      </c>
      <c r="B166" s="24">
        <v>20.0001</v>
      </c>
      <c r="C166" s="24">
        <v>40</v>
      </c>
      <c r="D166" s="16" t="s">
        <v>45</v>
      </c>
      <c r="E166" s="3" t="s">
        <v>438</v>
      </c>
    </row>
    <row r="167" spans="1:7" ht="28.8" x14ac:dyDescent="0.3">
      <c r="A167" s="11" t="s">
        <v>33</v>
      </c>
      <c r="B167" s="24">
        <v>40.000100000000003</v>
      </c>
      <c r="C167" s="24">
        <v>60</v>
      </c>
      <c r="D167" s="16" t="s">
        <v>48</v>
      </c>
      <c r="E167" s="4" t="s">
        <v>439</v>
      </c>
    </row>
    <row r="168" spans="1:7" ht="28.8" x14ac:dyDescent="0.3">
      <c r="A168" s="11" t="s">
        <v>35</v>
      </c>
      <c r="B168" s="24">
        <v>60.000100000000003</v>
      </c>
      <c r="C168" s="24">
        <v>80</v>
      </c>
      <c r="D168" s="16" t="s">
        <v>50</v>
      </c>
      <c r="E168" s="5" t="s">
        <v>440</v>
      </c>
    </row>
    <row r="169" spans="1:7" ht="28.8" x14ac:dyDescent="0.3">
      <c r="A169" s="11" t="s">
        <v>37</v>
      </c>
      <c r="B169" s="24">
        <v>80.000100000000003</v>
      </c>
      <c r="C169" s="24">
        <v>100</v>
      </c>
      <c r="D169" s="16" t="s">
        <v>52</v>
      </c>
      <c r="E169" s="6" t="s">
        <v>441</v>
      </c>
    </row>
    <row r="171" spans="1:7" ht="19.5" customHeight="1" x14ac:dyDescent="0.3">
      <c r="A171" s="119" t="s">
        <v>442</v>
      </c>
      <c r="B171" s="119"/>
      <c r="C171" s="119"/>
      <c r="D171" s="119"/>
      <c r="E171" s="119"/>
      <c r="F171" s="119"/>
      <c r="G171" s="119"/>
    </row>
    <row r="172" spans="1:7" ht="27.75" customHeight="1" x14ac:dyDescent="0.3">
      <c r="A172" s="1" t="s">
        <v>53</v>
      </c>
      <c r="B172" s="1" t="s">
        <v>434</v>
      </c>
      <c r="C172" s="1" t="s">
        <v>435</v>
      </c>
      <c r="D172" s="1" t="s">
        <v>443</v>
      </c>
      <c r="E172" s="1"/>
      <c r="F172" s="1"/>
      <c r="G172" s="1"/>
    </row>
    <row r="173" spans="1:7" ht="28.35" customHeight="1" x14ac:dyDescent="0.3">
      <c r="A173" s="16" t="s">
        <v>59</v>
      </c>
      <c r="B173" s="24">
        <v>0</v>
      </c>
      <c r="C173" s="24">
        <v>40</v>
      </c>
      <c r="D173" s="120" t="s">
        <v>60</v>
      </c>
      <c r="E173" s="120"/>
      <c r="F173" s="120"/>
      <c r="G173" s="120"/>
    </row>
    <row r="174" spans="1:7" ht="15" customHeight="1" x14ac:dyDescent="0.3">
      <c r="A174" s="16" t="s">
        <v>57</v>
      </c>
      <c r="B174" s="24">
        <v>40</v>
      </c>
      <c r="C174" s="24">
        <v>60</v>
      </c>
      <c r="D174" s="120" t="s">
        <v>58</v>
      </c>
      <c r="E174" s="120"/>
      <c r="F174" s="120"/>
      <c r="G174" s="120"/>
    </row>
    <row r="175" spans="1:7" ht="28.35" customHeight="1" x14ac:dyDescent="0.3">
      <c r="A175" s="16" t="s">
        <v>55</v>
      </c>
      <c r="B175" s="24">
        <v>60</v>
      </c>
      <c r="C175" s="24">
        <v>100</v>
      </c>
      <c r="D175" s="120" t="s">
        <v>56</v>
      </c>
      <c r="E175" s="120"/>
      <c r="F175" s="120"/>
      <c r="G175" s="120"/>
    </row>
    <row r="177" spans="1:7" ht="19.5" customHeight="1" x14ac:dyDescent="0.3">
      <c r="A177" s="119" t="s">
        <v>444</v>
      </c>
      <c r="B177" s="119"/>
      <c r="C177" s="119"/>
      <c r="D177" s="119"/>
      <c r="E177" s="119"/>
      <c r="F177" s="119"/>
      <c r="G177" s="119"/>
    </row>
    <row r="178" spans="1:7" ht="27.75" customHeight="1" x14ac:dyDescent="0.3">
      <c r="A178" s="1" t="s">
        <v>445</v>
      </c>
      <c r="B178" s="1" t="s">
        <v>446</v>
      </c>
      <c r="C178" s="1" t="s">
        <v>443</v>
      </c>
      <c r="D178" s="1"/>
      <c r="E178" s="1"/>
      <c r="F178" s="1"/>
      <c r="G178" s="1"/>
    </row>
    <row r="179" spans="1:7" ht="28.35" customHeight="1" x14ac:dyDescent="0.3">
      <c r="A179" s="15" t="s">
        <v>447</v>
      </c>
      <c r="B179" s="24">
        <v>220</v>
      </c>
      <c r="C179" s="120" t="s">
        <v>448</v>
      </c>
      <c r="D179" s="120"/>
      <c r="E179" s="120"/>
      <c r="F179" s="120"/>
      <c r="G179" s="120"/>
    </row>
    <row r="180" spans="1:7" ht="15" customHeight="1" x14ac:dyDescent="0.3">
      <c r="A180" s="15" t="s">
        <v>449</v>
      </c>
      <c r="B180" s="24">
        <v>1</v>
      </c>
      <c r="C180" s="120" t="s">
        <v>450</v>
      </c>
      <c r="D180" s="120"/>
      <c r="E180" s="120"/>
      <c r="F180" s="120"/>
      <c r="G180" s="120"/>
    </row>
    <row r="181" spans="1:7" ht="15" customHeight="1" x14ac:dyDescent="0.3">
      <c r="A181" s="15" t="s">
        <v>451</v>
      </c>
      <c r="B181" s="24">
        <v>0.75</v>
      </c>
      <c r="C181" s="120" t="s">
        <v>452</v>
      </c>
      <c r="D181" s="120"/>
      <c r="E181" s="120"/>
      <c r="F181" s="120"/>
      <c r="G181" s="120"/>
    </row>
    <row r="182" spans="1:7" ht="15" customHeight="1" x14ac:dyDescent="0.3">
      <c r="A182" s="15" t="s">
        <v>453</v>
      </c>
      <c r="B182" s="24">
        <v>0.5</v>
      </c>
      <c r="C182" s="120" t="s">
        <v>454</v>
      </c>
      <c r="D182" s="120"/>
      <c r="E182" s="120"/>
      <c r="F182" s="120"/>
      <c r="G182" s="120"/>
    </row>
    <row r="183" spans="1:7" ht="15" customHeight="1" x14ac:dyDescent="0.3">
      <c r="A183" s="15" t="s">
        <v>455</v>
      </c>
      <c r="B183" s="24">
        <v>0.25</v>
      </c>
      <c r="C183" s="120" t="s">
        <v>456</v>
      </c>
      <c r="D183" s="120"/>
      <c r="E183" s="120"/>
      <c r="F183" s="120"/>
      <c r="G183" s="120"/>
    </row>
    <row r="184" spans="1:7" ht="15" customHeight="1" x14ac:dyDescent="0.3">
      <c r="A184" s="15" t="s">
        <v>457</v>
      </c>
      <c r="B184" s="24">
        <v>1</v>
      </c>
      <c r="C184" s="120" t="s">
        <v>458</v>
      </c>
      <c r="D184" s="120"/>
      <c r="E184" s="120"/>
      <c r="F184" s="120"/>
      <c r="G184" s="120"/>
    </row>
    <row r="185" spans="1:7" ht="15" customHeight="1" x14ac:dyDescent="0.3">
      <c r="A185" s="15" t="s">
        <v>459</v>
      </c>
      <c r="B185" s="24">
        <v>2</v>
      </c>
      <c r="C185" s="120" t="s">
        <v>460</v>
      </c>
      <c r="D185" s="120"/>
      <c r="E185" s="120"/>
      <c r="F185" s="120"/>
      <c r="G185" s="120"/>
    </row>
    <row r="186" spans="1:7" ht="15" customHeight="1" x14ac:dyDescent="0.3">
      <c r="A186" s="15" t="s">
        <v>461</v>
      </c>
      <c r="B186" s="24">
        <v>3</v>
      </c>
      <c r="C186" s="120" t="s">
        <v>462</v>
      </c>
      <c r="D186" s="120"/>
      <c r="E186" s="120"/>
      <c r="F186" s="120"/>
      <c r="G186" s="120"/>
    </row>
    <row r="187" spans="1:7" ht="15" customHeight="1" x14ac:dyDescent="0.3">
      <c r="A187" s="15" t="s">
        <v>463</v>
      </c>
      <c r="B187" s="24">
        <v>4</v>
      </c>
      <c r="C187" s="120" t="s">
        <v>464</v>
      </c>
      <c r="D187" s="120"/>
      <c r="E187" s="120"/>
      <c r="F187" s="120"/>
      <c r="G187" s="120"/>
    </row>
    <row r="188" spans="1:7" ht="15" customHeight="1" x14ac:dyDescent="0.3">
      <c r="A188" s="15" t="s">
        <v>465</v>
      </c>
      <c r="B188" s="24">
        <v>2</v>
      </c>
      <c r="C188" s="120" t="s">
        <v>466</v>
      </c>
      <c r="D188" s="120"/>
      <c r="E188" s="120"/>
      <c r="F188" s="120"/>
      <c r="G188" s="120"/>
    </row>
    <row r="189" spans="1:7" ht="15" customHeight="1" x14ac:dyDescent="0.3">
      <c r="A189" s="15" t="s">
        <v>467</v>
      </c>
      <c r="B189" s="24">
        <v>3</v>
      </c>
      <c r="C189" s="120" t="s">
        <v>468</v>
      </c>
      <c r="D189" s="120"/>
      <c r="E189" s="120"/>
      <c r="F189" s="120"/>
      <c r="G189" s="120"/>
    </row>
    <row r="190" spans="1:7" ht="15" customHeight="1" x14ac:dyDescent="0.3">
      <c r="A190" s="15" t="s">
        <v>469</v>
      </c>
      <c r="B190" s="24">
        <v>4</v>
      </c>
      <c r="C190" s="120" t="s">
        <v>470</v>
      </c>
      <c r="D190" s="120"/>
      <c r="E190" s="120"/>
      <c r="F190" s="120"/>
      <c r="G190" s="120"/>
    </row>
    <row r="191" spans="1:7" ht="15" customHeight="1" x14ac:dyDescent="0.3">
      <c r="A191" s="15" t="s">
        <v>471</v>
      </c>
      <c r="B191" s="24">
        <v>2</v>
      </c>
      <c r="C191" s="120" t="s">
        <v>472</v>
      </c>
      <c r="D191" s="120"/>
      <c r="E191" s="120"/>
      <c r="F191" s="120"/>
      <c r="G191" s="120"/>
    </row>
    <row r="192" spans="1:7" ht="15" customHeight="1" x14ac:dyDescent="0.3">
      <c r="A192" s="15" t="s">
        <v>473</v>
      </c>
      <c r="B192" s="24">
        <v>3</v>
      </c>
      <c r="C192" s="120" t="s">
        <v>474</v>
      </c>
      <c r="D192" s="120"/>
      <c r="E192" s="120"/>
      <c r="F192" s="120"/>
      <c r="G192" s="120"/>
    </row>
    <row r="194" spans="1:7" ht="19.5" customHeight="1" x14ac:dyDescent="0.3">
      <c r="A194" s="119" t="s">
        <v>475</v>
      </c>
      <c r="B194" s="119"/>
      <c r="C194" s="119"/>
      <c r="D194" s="119"/>
      <c r="E194" s="119"/>
      <c r="F194" s="119"/>
      <c r="G194" s="119"/>
    </row>
    <row r="195" spans="1:7" ht="27.75" customHeight="1" x14ac:dyDescent="0.3">
      <c r="A195" s="1" t="s">
        <v>476</v>
      </c>
      <c r="B195" s="1" t="s">
        <v>477</v>
      </c>
      <c r="C195" s="1" t="s">
        <v>478</v>
      </c>
      <c r="D195" s="1" t="s">
        <v>149</v>
      </c>
      <c r="E195" s="1" t="s">
        <v>479</v>
      </c>
      <c r="F195" s="1" t="s">
        <v>480</v>
      </c>
      <c r="G195" s="1" t="s">
        <v>481</v>
      </c>
    </row>
    <row r="196" spans="1:7" x14ac:dyDescent="0.3">
      <c r="A196" s="11" t="s">
        <v>482</v>
      </c>
      <c r="B196" s="11" t="s">
        <v>483</v>
      </c>
      <c r="C196" s="11" t="s">
        <v>484</v>
      </c>
      <c r="D196" s="11" t="s">
        <v>485</v>
      </c>
      <c r="E196" s="11" t="s">
        <v>486</v>
      </c>
      <c r="F196" s="11" t="s">
        <v>486</v>
      </c>
      <c r="G196" s="11" t="s">
        <v>401</v>
      </c>
    </row>
    <row r="197" spans="1:7" x14ac:dyDescent="0.3">
      <c r="A197" s="11" t="s">
        <v>487</v>
      </c>
      <c r="B197" s="11" t="s">
        <v>488</v>
      </c>
      <c r="C197" s="11" t="s">
        <v>489</v>
      </c>
      <c r="D197" s="11" t="s">
        <v>490</v>
      </c>
      <c r="E197" s="11" t="s">
        <v>491</v>
      </c>
      <c r="F197" s="11" t="s">
        <v>491</v>
      </c>
      <c r="G197" s="11" t="s">
        <v>402</v>
      </c>
    </row>
    <row r="198" spans="1:7" ht="28.8" x14ac:dyDescent="0.3">
      <c r="A198" s="11" t="s">
        <v>492</v>
      </c>
      <c r="B198" s="11" t="s">
        <v>493</v>
      </c>
      <c r="C198" s="11" t="s">
        <v>494</v>
      </c>
      <c r="D198" s="11"/>
      <c r="E198" s="11"/>
      <c r="F198" s="11" t="s">
        <v>495</v>
      </c>
      <c r="G198" s="11" t="s">
        <v>403</v>
      </c>
    </row>
    <row r="199" spans="1:7" x14ac:dyDescent="0.3">
      <c r="A199" s="11" t="s">
        <v>496</v>
      </c>
      <c r="B199" s="11" t="s">
        <v>497</v>
      </c>
      <c r="C199" s="11" t="s">
        <v>498</v>
      </c>
      <c r="D199" s="11"/>
      <c r="E199" s="11"/>
      <c r="F199" s="11"/>
      <c r="G199" s="11" t="s">
        <v>499</v>
      </c>
    </row>
    <row r="200" spans="1:7" x14ac:dyDescent="0.3">
      <c r="A200" s="11"/>
      <c r="B200" s="11" t="s">
        <v>500</v>
      </c>
      <c r="C200" s="11" t="s">
        <v>501</v>
      </c>
      <c r="D200" s="11"/>
      <c r="E200" s="11"/>
      <c r="F200" s="11"/>
      <c r="G200" s="11"/>
    </row>
    <row r="201" spans="1:7" x14ac:dyDescent="0.3">
      <c r="A201" s="11"/>
      <c r="B201" s="11" t="s">
        <v>502</v>
      </c>
      <c r="C201" s="11" t="s">
        <v>503</v>
      </c>
      <c r="D201" s="11"/>
      <c r="E201" s="11"/>
      <c r="F201" s="11"/>
      <c r="G201" s="11"/>
    </row>
    <row r="202" spans="1:7" x14ac:dyDescent="0.3">
      <c r="A202" s="11"/>
      <c r="B202" s="11" t="s">
        <v>504</v>
      </c>
      <c r="C202" s="11" t="s">
        <v>505</v>
      </c>
      <c r="D202" s="11"/>
      <c r="E202" s="11"/>
      <c r="F202" s="11"/>
      <c r="G202" s="11"/>
    </row>
  </sheetData>
  <sheetProtection algorithmName="SHA-512" hashValue="0EGLlzzixZgOTOdCqIp41hW6JXHK1LguRJMnKNm+CaKZ5afHoY82fU4WIR7TADQBNiflGvAP3TpISkt2KQXOIg==" saltValue="UR8MnoyCLGINZcdgM1wiUA==" spinCount="100000" sheet="1" sort="0" autoFilter="0"/>
  <mergeCells count="133">
    <mergeCell ref="C189:G189"/>
    <mergeCell ref="C190:G190"/>
    <mergeCell ref="C191:G191"/>
    <mergeCell ref="C192:G192"/>
    <mergeCell ref="A194:G194"/>
    <mergeCell ref="B69:E69"/>
    <mergeCell ref="B66:E66"/>
    <mergeCell ref="C180:G180"/>
    <mergeCell ref="C181:G181"/>
    <mergeCell ref="C182:G182"/>
    <mergeCell ref="C183:G183"/>
    <mergeCell ref="C184:G184"/>
    <mergeCell ref="C185:G185"/>
    <mergeCell ref="C186:G186"/>
    <mergeCell ref="C187:G187"/>
    <mergeCell ref="C188:G188"/>
    <mergeCell ref="B160:E160"/>
    <mergeCell ref="B161:E161"/>
    <mergeCell ref="A163:G163"/>
    <mergeCell ref="A171:G171"/>
    <mergeCell ref="D173:G173"/>
    <mergeCell ref="D174:G174"/>
    <mergeCell ref="D175:G175"/>
    <mergeCell ref="A177:G177"/>
    <mergeCell ref="C179:G179"/>
    <mergeCell ref="B151:E151"/>
    <mergeCell ref="B152:E152"/>
    <mergeCell ref="B153:E153"/>
    <mergeCell ref="B154:E154"/>
    <mergeCell ref="B155:E155"/>
    <mergeCell ref="B156:E156"/>
    <mergeCell ref="B157:E157"/>
    <mergeCell ref="B158:E158"/>
    <mergeCell ref="B159:E159"/>
    <mergeCell ref="B142:E142"/>
    <mergeCell ref="B143:E143"/>
    <mergeCell ref="B144:E144"/>
    <mergeCell ref="B145:E145"/>
    <mergeCell ref="B146:E146"/>
    <mergeCell ref="B147:E147"/>
    <mergeCell ref="B148:E148"/>
    <mergeCell ref="B149:E149"/>
    <mergeCell ref="B150:E150"/>
    <mergeCell ref="B133:E133"/>
    <mergeCell ref="B134:E134"/>
    <mergeCell ref="B135:E135"/>
    <mergeCell ref="B136:E136"/>
    <mergeCell ref="B137:E137"/>
    <mergeCell ref="B138:E138"/>
    <mergeCell ref="B139:E139"/>
    <mergeCell ref="B140:E140"/>
    <mergeCell ref="B141:E141"/>
    <mergeCell ref="B124:E124"/>
    <mergeCell ref="B125:E125"/>
    <mergeCell ref="B126:E126"/>
    <mergeCell ref="B127:E127"/>
    <mergeCell ref="B128:E128"/>
    <mergeCell ref="B129:E129"/>
    <mergeCell ref="B130:E130"/>
    <mergeCell ref="B131:E131"/>
    <mergeCell ref="B132:E132"/>
    <mergeCell ref="B115:E115"/>
    <mergeCell ref="B116:E116"/>
    <mergeCell ref="B117:E117"/>
    <mergeCell ref="B118:E118"/>
    <mergeCell ref="B119:E119"/>
    <mergeCell ref="B120:E120"/>
    <mergeCell ref="B121:E121"/>
    <mergeCell ref="B122:E122"/>
    <mergeCell ref="B123:E123"/>
    <mergeCell ref="B106:E106"/>
    <mergeCell ref="B107:E107"/>
    <mergeCell ref="B108:E108"/>
    <mergeCell ref="B109:E109"/>
    <mergeCell ref="B110:E110"/>
    <mergeCell ref="B111:E111"/>
    <mergeCell ref="B112:E112"/>
    <mergeCell ref="B113:E113"/>
    <mergeCell ref="B114:E114"/>
    <mergeCell ref="B97:E97"/>
    <mergeCell ref="B98:E98"/>
    <mergeCell ref="B99:E99"/>
    <mergeCell ref="B100:E100"/>
    <mergeCell ref="B101:E101"/>
    <mergeCell ref="B102:E102"/>
    <mergeCell ref="B103:E103"/>
    <mergeCell ref="B104:E104"/>
    <mergeCell ref="B105:E105"/>
    <mergeCell ref="B88:E88"/>
    <mergeCell ref="B89:E89"/>
    <mergeCell ref="B90:E90"/>
    <mergeCell ref="B91:E91"/>
    <mergeCell ref="B92:E92"/>
    <mergeCell ref="B93:E93"/>
    <mergeCell ref="B94:E94"/>
    <mergeCell ref="B95:E95"/>
    <mergeCell ref="B96:E96"/>
    <mergeCell ref="B79:E79"/>
    <mergeCell ref="B80:E80"/>
    <mergeCell ref="B81:E81"/>
    <mergeCell ref="B82:E82"/>
    <mergeCell ref="B83:E83"/>
    <mergeCell ref="B84:E84"/>
    <mergeCell ref="B85:E85"/>
    <mergeCell ref="B86:E86"/>
    <mergeCell ref="B87:E87"/>
    <mergeCell ref="B70:E70"/>
    <mergeCell ref="B71:E71"/>
    <mergeCell ref="B72:E72"/>
    <mergeCell ref="B73:E73"/>
    <mergeCell ref="B74:E74"/>
    <mergeCell ref="B75:E75"/>
    <mergeCell ref="B76:E76"/>
    <mergeCell ref="B77:E77"/>
    <mergeCell ref="B78:E78"/>
    <mergeCell ref="B12:E12"/>
    <mergeCell ref="B13:E13"/>
    <mergeCell ref="B14:E14"/>
    <mergeCell ref="A16:G16"/>
    <mergeCell ref="A62:G62"/>
    <mergeCell ref="B64:E64"/>
    <mergeCell ref="B65:E65"/>
    <mergeCell ref="B67:E67"/>
    <mergeCell ref="B68:E68"/>
    <mergeCell ref="A1:G1"/>
    <mergeCell ref="A2:G2"/>
    <mergeCell ref="A4:G4"/>
    <mergeCell ref="B6:E6"/>
    <mergeCell ref="B7:E7"/>
    <mergeCell ref="B8:E8"/>
    <mergeCell ref="B9:E9"/>
    <mergeCell ref="B10:E10"/>
    <mergeCell ref="B11:E11"/>
  </mergeCell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pageSetUpPr fitToPage="1"/>
  </sheetPr>
  <dimension ref="A1:Z152"/>
  <sheetViews>
    <sheetView showGridLines="0" tabSelected="1" zoomScale="130" zoomScaleNormal="130" workbookViewId="0">
      <pane xSplit="2" ySplit="4" topLeftCell="C5" activePane="bottomRight" state="frozen"/>
      <selection pane="topRight" activeCell="C1" sqref="C1"/>
      <selection pane="bottomLeft" activeCell="A5" sqref="A5"/>
      <selection pane="bottomRight" activeCell="Z13" sqref="Z13"/>
    </sheetView>
  </sheetViews>
  <sheetFormatPr baseColWidth="10" defaultColWidth="22.6640625" defaultRowHeight="13.8" x14ac:dyDescent="0.25"/>
  <cols>
    <col min="1" max="1" width="22.6640625" style="30"/>
    <col min="2" max="2" width="26.5546875" style="30" customWidth="1"/>
    <col min="3" max="3" width="9.33203125" style="30" bestFit="1" customWidth="1"/>
    <col min="4" max="4" width="16.109375" style="30" bestFit="1" customWidth="1"/>
    <col min="5" max="5" width="14.44140625" style="30" bestFit="1" customWidth="1"/>
    <col min="6" max="6" width="21.21875" style="30" customWidth="1"/>
    <col min="7" max="7" width="15.5546875" style="30" customWidth="1"/>
    <col min="8" max="8" width="13.88671875" style="30" bestFit="1" customWidth="1"/>
    <col min="9" max="13" width="12.109375" style="30" bestFit="1" customWidth="1"/>
    <col min="14" max="14" width="13.6640625" style="30" bestFit="1" customWidth="1"/>
    <col min="15" max="15" width="12.109375" style="30" bestFit="1" customWidth="1"/>
    <col min="16" max="16" width="11.44140625" style="30" bestFit="1" customWidth="1"/>
    <col min="17" max="17" width="16.44140625" style="30" bestFit="1" customWidth="1"/>
    <col min="18" max="18" width="25" style="30" customWidth="1"/>
    <col min="19" max="19" width="12.5546875" style="30" bestFit="1" customWidth="1"/>
    <col min="20" max="20" width="13.6640625" style="30" bestFit="1" customWidth="1"/>
    <col min="21" max="21" width="17.5546875" style="30" bestFit="1" customWidth="1"/>
    <col min="22" max="22" width="12.88671875" style="30" bestFit="1" customWidth="1"/>
    <col min="23" max="23" width="13.6640625" style="30" bestFit="1" customWidth="1"/>
    <col min="24" max="24" width="17" style="30" bestFit="1" customWidth="1"/>
    <col min="25" max="25" width="12.109375" style="30" bestFit="1" customWidth="1"/>
    <col min="26" max="26" width="12.44140625" style="30" bestFit="1" customWidth="1"/>
    <col min="27" max="16384" width="22.6640625" style="30"/>
  </cols>
  <sheetData>
    <row r="1" spans="1:26" ht="17.399999999999999" x14ac:dyDescent="0.25">
      <c r="A1" s="122" t="s">
        <v>506</v>
      </c>
      <c r="B1" s="122"/>
      <c r="C1" s="122"/>
      <c r="D1" s="122"/>
      <c r="E1" s="122"/>
      <c r="F1" s="122"/>
      <c r="G1" s="122"/>
      <c r="H1" s="122"/>
      <c r="I1" s="122"/>
      <c r="J1" s="122"/>
      <c r="K1" s="122"/>
      <c r="L1" s="122"/>
      <c r="M1" s="122"/>
      <c r="N1" s="122"/>
      <c r="O1" s="122"/>
      <c r="P1" s="122"/>
      <c r="Q1" s="122"/>
      <c r="R1" s="122"/>
      <c r="S1" s="122"/>
      <c r="T1" s="122"/>
      <c r="U1" s="122"/>
      <c r="V1" s="122"/>
      <c r="W1" s="122"/>
      <c r="X1" s="122"/>
      <c r="Y1" s="122"/>
    </row>
    <row r="2" spans="1:26" x14ac:dyDescent="0.25">
      <c r="A2" s="114" t="s">
        <v>507</v>
      </c>
      <c r="B2" s="114"/>
      <c r="C2" s="114"/>
      <c r="D2" s="114"/>
      <c r="E2" s="114"/>
      <c r="F2" s="114"/>
      <c r="G2" s="114"/>
      <c r="H2" s="114"/>
      <c r="I2" s="114"/>
      <c r="J2" s="114"/>
      <c r="K2" s="114"/>
      <c r="L2" s="114"/>
      <c r="M2" s="114"/>
      <c r="N2" s="114"/>
      <c r="O2" s="114"/>
      <c r="P2" s="114"/>
      <c r="Q2" s="114"/>
      <c r="R2" s="114"/>
      <c r="S2" s="114"/>
      <c r="T2" s="114"/>
      <c r="U2" s="114"/>
      <c r="V2" s="114"/>
      <c r="W2" s="114"/>
      <c r="X2" s="114"/>
      <c r="Y2" s="114"/>
    </row>
    <row r="4" spans="1:26" ht="32.4" x14ac:dyDescent="0.25">
      <c r="A4" s="52" t="s">
        <v>324</v>
      </c>
      <c r="B4" s="52" t="s">
        <v>508</v>
      </c>
      <c r="C4" s="52" t="s">
        <v>149</v>
      </c>
      <c r="D4" s="52" t="s">
        <v>509</v>
      </c>
      <c r="E4" s="52" t="s">
        <v>476</v>
      </c>
      <c r="F4" s="52" t="s">
        <v>510</v>
      </c>
      <c r="G4" s="52" t="s">
        <v>144</v>
      </c>
      <c r="H4" s="52" t="s">
        <v>511</v>
      </c>
      <c r="I4" s="52" t="s">
        <v>512</v>
      </c>
      <c r="J4" s="52" t="s">
        <v>513</v>
      </c>
      <c r="K4" s="52" t="s">
        <v>514</v>
      </c>
      <c r="L4" s="52" t="s">
        <v>515</v>
      </c>
      <c r="M4" s="52" t="s">
        <v>516</v>
      </c>
      <c r="N4" s="52" t="s">
        <v>517</v>
      </c>
      <c r="O4" s="52" t="s">
        <v>518</v>
      </c>
      <c r="P4" s="52" t="s">
        <v>519</v>
      </c>
      <c r="Q4" s="52" t="s">
        <v>520</v>
      </c>
      <c r="R4" s="52" t="s">
        <v>521</v>
      </c>
      <c r="S4" s="52" t="s">
        <v>53</v>
      </c>
      <c r="T4" s="52" t="s">
        <v>522</v>
      </c>
      <c r="U4" s="52" t="s">
        <v>523</v>
      </c>
      <c r="V4" s="52" t="s">
        <v>42</v>
      </c>
      <c r="W4" s="52" t="s">
        <v>524</v>
      </c>
      <c r="X4" s="52" t="s">
        <v>525</v>
      </c>
      <c r="Y4" s="52" t="s">
        <v>526</v>
      </c>
      <c r="Z4" s="52" t="s">
        <v>527</v>
      </c>
    </row>
    <row r="5" spans="1:26" s="44" customFormat="1" x14ac:dyDescent="0.3">
      <c r="A5" s="53" t="s">
        <v>608</v>
      </c>
      <c r="B5" s="53" t="s">
        <v>609</v>
      </c>
      <c r="C5" s="54" t="s">
        <v>490</v>
      </c>
      <c r="D5" s="55">
        <v>39</v>
      </c>
      <c r="E5" s="54" t="s">
        <v>492</v>
      </c>
      <c r="F5" s="54" t="s">
        <v>606</v>
      </c>
      <c r="G5" s="56">
        <v>46290</v>
      </c>
      <c r="H5" s="57">
        <v>17</v>
      </c>
      <c r="I5" s="57">
        <v>4.1662499999999998</v>
      </c>
      <c r="J5" s="57">
        <v>8.4375</v>
      </c>
      <c r="K5" s="57">
        <v>14</v>
      </c>
      <c r="L5" s="57">
        <v>6.25</v>
      </c>
      <c r="M5" s="57">
        <v>3.75</v>
      </c>
      <c r="N5" s="57">
        <v>5.5</v>
      </c>
      <c r="O5" s="57">
        <v>4.9994999999999994</v>
      </c>
      <c r="P5" s="36">
        <f t="shared" ref="P5:P34" si="0">IF($A5="","",SUM(H5:O5))</f>
        <v>64.103250000000003</v>
      </c>
      <c r="Q5" s="58">
        <f t="shared" ref="Q5:Q34" si="1">IF($A5="","",P5/100)</f>
        <v>0.64103250000000001</v>
      </c>
      <c r="R5" s="59" t="str">
        <f t="shared" ref="R5:R34" si="2">IF($A5="","",INDEX(ParamRangoNivel,MATCH(P5,ParamRangoDesde,1)))</f>
        <v>Vulnerabilidad alta</v>
      </c>
      <c r="S5" s="59" t="str">
        <f t="shared" ref="S5:S34" si="3">IF($A5="","",IF(T5="Sí","PRIORIDAD 1",INDEX(ParamPrioNombre,MATCH(P5,ParamPrioDesde,1))))</f>
        <v>PRIORIDAD 1</v>
      </c>
      <c r="T5" s="54" t="s">
        <v>486</v>
      </c>
      <c r="U5" s="59" t="str">
        <f t="shared" ref="U5:U34" si="4">IF($A5="","",IF(K5="","",IF(K5/20*100&gt;=60,"ALTA",IF(K5/20*100&gt;=30,"MEDIA","BAJA"))))</f>
        <v>ALTA</v>
      </c>
      <c r="V5" s="59" t="str">
        <f t="shared" ref="V5:V34" si="5">IF($A5="","",INDEX(ParamRangoSemaforo,MATCH(P5,ParamRangoDesde,1)))</f>
        <v>NARANJA</v>
      </c>
      <c r="W5" s="54" t="s">
        <v>484</v>
      </c>
      <c r="X5" s="54"/>
      <c r="Y5" s="60">
        <f t="shared" ref="Y5:Y34" si="6">IF($A5="","",(IF(S5="PRIORIDAD 1",3,IF(S5="PRIORIDAD 2",2,1)))*100000+IF(T5="Sí",1000,0)+P5)</f>
        <v>301064.10324999999</v>
      </c>
      <c r="Z5" s="34">
        <f>IF($A5="","",RANK(Y5,$Y$5:$Y$152)+COUNTIF($Y$5:Y5,Y5)-1)</f>
        <v>1</v>
      </c>
    </row>
    <row r="6" spans="1:26" s="44" customFormat="1" x14ac:dyDescent="0.3">
      <c r="A6" s="54" t="s">
        <v>607</v>
      </c>
      <c r="B6" s="54" t="s">
        <v>610</v>
      </c>
      <c r="C6" s="54" t="s">
        <v>490</v>
      </c>
      <c r="D6" s="55">
        <v>27</v>
      </c>
      <c r="E6" s="54" t="s">
        <v>492</v>
      </c>
      <c r="F6" s="54" t="s">
        <v>606</v>
      </c>
      <c r="G6" s="56">
        <v>46290</v>
      </c>
      <c r="H6" s="57">
        <v>2</v>
      </c>
      <c r="I6" s="57">
        <v>0</v>
      </c>
      <c r="J6" s="57">
        <v>8.4375</v>
      </c>
      <c r="K6" s="57">
        <v>14</v>
      </c>
      <c r="L6" s="57">
        <v>3.75</v>
      </c>
      <c r="M6" s="57">
        <v>3.75</v>
      </c>
      <c r="N6" s="57">
        <v>9.5</v>
      </c>
      <c r="O6" s="57">
        <v>4.9994999999999994</v>
      </c>
      <c r="P6" s="36">
        <f t="shared" si="0"/>
        <v>46.436999999999998</v>
      </c>
      <c r="Q6" s="58">
        <f t="shared" si="1"/>
        <v>0.46436999999999995</v>
      </c>
      <c r="R6" s="59" t="str">
        <f t="shared" si="2"/>
        <v>Vulnerabilidad moderada</v>
      </c>
      <c r="S6" s="59" t="str">
        <f t="shared" si="3"/>
        <v>PRIORIDAD 1</v>
      </c>
      <c r="T6" s="54" t="s">
        <v>486</v>
      </c>
      <c r="U6" s="59" t="str">
        <f t="shared" si="4"/>
        <v>ALTA</v>
      </c>
      <c r="V6" s="59" t="str">
        <f t="shared" si="5"/>
        <v>AMARILLO</v>
      </c>
      <c r="W6" s="54" t="s">
        <v>494</v>
      </c>
      <c r="X6" s="54"/>
      <c r="Y6" s="60">
        <f t="shared" si="6"/>
        <v>301046.43699999998</v>
      </c>
      <c r="Z6" s="34">
        <f>IF($A6="","",RANK(Y6,$Y$5:$Y$152)+COUNTIF($Y$5:Y6,Y6)-1)</f>
        <v>2</v>
      </c>
    </row>
    <row r="7" spans="1:26" s="44" customFormat="1" x14ac:dyDescent="0.3">
      <c r="A7" s="54" t="s">
        <v>607</v>
      </c>
      <c r="B7" s="54" t="s">
        <v>610</v>
      </c>
      <c r="C7" s="54" t="s">
        <v>490</v>
      </c>
      <c r="D7" s="55">
        <v>27</v>
      </c>
      <c r="E7" s="54" t="s">
        <v>492</v>
      </c>
      <c r="F7" s="54" t="s">
        <v>606</v>
      </c>
      <c r="G7" s="56">
        <v>46290</v>
      </c>
      <c r="H7" s="57">
        <v>2</v>
      </c>
      <c r="I7" s="57">
        <v>0</v>
      </c>
      <c r="J7" s="57">
        <v>0.9375</v>
      </c>
      <c r="K7" s="57">
        <v>0</v>
      </c>
      <c r="L7" s="57">
        <v>3.75</v>
      </c>
      <c r="M7" s="57">
        <v>3.75</v>
      </c>
      <c r="N7" s="57">
        <v>1</v>
      </c>
      <c r="O7" s="57">
        <v>4.9994999999999994</v>
      </c>
      <c r="P7" s="36">
        <f t="shared" si="0"/>
        <v>16.436999999999998</v>
      </c>
      <c r="Q7" s="58">
        <f t="shared" si="1"/>
        <v>0.16436999999999999</v>
      </c>
      <c r="R7" s="59" t="str">
        <f t="shared" si="2"/>
        <v>Vulnerabilidad muy baja</v>
      </c>
      <c r="S7" s="59" t="str">
        <f t="shared" si="3"/>
        <v>PRIORIDAD 3</v>
      </c>
      <c r="T7" s="54" t="s">
        <v>491</v>
      </c>
      <c r="U7" s="59" t="str">
        <f t="shared" si="4"/>
        <v>BAJA</v>
      </c>
      <c r="V7" s="59" t="str">
        <f t="shared" si="5"/>
        <v>VERDE</v>
      </c>
      <c r="W7" s="54" t="s">
        <v>494</v>
      </c>
      <c r="X7" s="54"/>
      <c r="Y7" s="60">
        <f t="shared" si="6"/>
        <v>100016.43700000001</v>
      </c>
      <c r="Z7" s="34">
        <f>IF($A7="","",RANK(Y7,$Y$5:$Y$152)+COUNTIF($Y$5:Y7,Y7)-1)</f>
        <v>3</v>
      </c>
    </row>
    <row r="8" spans="1:26" s="44" customFormat="1" x14ac:dyDescent="0.3">
      <c r="A8" s="54"/>
      <c r="B8" s="54"/>
      <c r="C8" s="54"/>
      <c r="D8" s="55"/>
      <c r="E8" s="54"/>
      <c r="F8" s="54"/>
      <c r="G8" s="56"/>
      <c r="H8" s="57"/>
      <c r="I8" s="57"/>
      <c r="J8" s="57"/>
      <c r="K8" s="57"/>
      <c r="L8" s="57"/>
      <c r="M8" s="57"/>
      <c r="N8" s="57"/>
      <c r="O8" s="57"/>
      <c r="P8" s="36" t="str">
        <f t="shared" si="0"/>
        <v/>
      </c>
      <c r="Q8" s="58" t="str">
        <f t="shared" si="1"/>
        <v/>
      </c>
      <c r="R8" s="59" t="str">
        <f t="shared" si="2"/>
        <v/>
      </c>
      <c r="S8" s="59" t="str">
        <f t="shared" si="3"/>
        <v/>
      </c>
      <c r="T8" s="54"/>
      <c r="U8" s="59" t="str">
        <f t="shared" si="4"/>
        <v/>
      </c>
      <c r="V8" s="59" t="str">
        <f t="shared" si="5"/>
        <v/>
      </c>
      <c r="W8" s="54"/>
      <c r="X8" s="54"/>
      <c r="Y8" s="60" t="str">
        <f t="shared" si="6"/>
        <v/>
      </c>
      <c r="Z8" s="34" t="str">
        <f>IF($A8="","",RANK(Y8,$Y$5:$Y$152)+COUNTIF($Y$5:Y8,Y8)-1)</f>
        <v/>
      </c>
    </row>
    <row r="9" spans="1:26" s="44" customFormat="1" x14ac:dyDescent="0.3">
      <c r="A9" s="54"/>
      <c r="B9" s="54"/>
      <c r="C9" s="54"/>
      <c r="D9" s="55"/>
      <c r="E9" s="54"/>
      <c r="F9" s="54"/>
      <c r="G9" s="56"/>
      <c r="H9" s="57"/>
      <c r="I9" s="57"/>
      <c r="J9" s="57"/>
      <c r="K9" s="57"/>
      <c r="L9" s="57"/>
      <c r="M9" s="57"/>
      <c r="N9" s="57"/>
      <c r="O9" s="57"/>
      <c r="P9" s="36" t="str">
        <f t="shared" si="0"/>
        <v/>
      </c>
      <c r="Q9" s="58" t="str">
        <f t="shared" si="1"/>
        <v/>
      </c>
      <c r="R9" s="59" t="str">
        <f t="shared" si="2"/>
        <v/>
      </c>
      <c r="S9" s="59" t="str">
        <f t="shared" si="3"/>
        <v/>
      </c>
      <c r="T9" s="54"/>
      <c r="U9" s="59" t="str">
        <f t="shared" si="4"/>
        <v/>
      </c>
      <c r="V9" s="59" t="str">
        <f t="shared" si="5"/>
        <v/>
      </c>
      <c r="W9" s="54"/>
      <c r="X9" s="54"/>
      <c r="Y9" s="60" t="str">
        <f t="shared" si="6"/>
        <v/>
      </c>
      <c r="Z9" s="34" t="str">
        <f>IF($A9="","",RANK(Y9,$Y$5:$Y$152)+COUNTIF($Y$5:Y9,Y9)-1)</f>
        <v/>
      </c>
    </row>
    <row r="10" spans="1:26" s="44" customFormat="1" x14ac:dyDescent="0.3">
      <c r="A10" s="54"/>
      <c r="B10" s="54"/>
      <c r="C10" s="54"/>
      <c r="D10" s="55"/>
      <c r="E10" s="54"/>
      <c r="F10" s="54"/>
      <c r="G10" s="56"/>
      <c r="H10" s="57"/>
      <c r="I10" s="57"/>
      <c r="J10" s="57"/>
      <c r="K10" s="57"/>
      <c r="L10" s="57"/>
      <c r="M10" s="57"/>
      <c r="N10" s="57"/>
      <c r="O10" s="57"/>
      <c r="P10" s="36" t="str">
        <f t="shared" si="0"/>
        <v/>
      </c>
      <c r="Q10" s="58" t="str">
        <f t="shared" si="1"/>
        <v/>
      </c>
      <c r="R10" s="59" t="str">
        <f t="shared" si="2"/>
        <v/>
      </c>
      <c r="S10" s="59" t="str">
        <f t="shared" si="3"/>
        <v/>
      </c>
      <c r="T10" s="54"/>
      <c r="U10" s="59" t="str">
        <f t="shared" si="4"/>
        <v/>
      </c>
      <c r="V10" s="59" t="str">
        <f t="shared" si="5"/>
        <v/>
      </c>
      <c r="W10" s="54"/>
      <c r="X10" s="54"/>
      <c r="Y10" s="60" t="str">
        <f t="shared" si="6"/>
        <v/>
      </c>
      <c r="Z10" s="34" t="str">
        <f>IF($A10="","",RANK(Y10,$Y$5:$Y$152)+COUNTIF($Y$5:Y10,Y10)-1)</f>
        <v/>
      </c>
    </row>
    <row r="11" spans="1:26" s="44" customFormat="1" x14ac:dyDescent="0.3">
      <c r="A11" s="54"/>
      <c r="B11" s="54"/>
      <c r="C11" s="54"/>
      <c r="D11" s="55"/>
      <c r="E11" s="54"/>
      <c r="F11" s="54"/>
      <c r="G11" s="56"/>
      <c r="H11" s="57"/>
      <c r="I11" s="57"/>
      <c r="J11" s="57"/>
      <c r="K11" s="57"/>
      <c r="L11" s="57"/>
      <c r="M11" s="57"/>
      <c r="N11" s="57"/>
      <c r="O11" s="57"/>
      <c r="P11" s="36" t="str">
        <f t="shared" si="0"/>
        <v/>
      </c>
      <c r="Q11" s="58" t="str">
        <f t="shared" si="1"/>
        <v/>
      </c>
      <c r="R11" s="59" t="str">
        <f t="shared" si="2"/>
        <v/>
      </c>
      <c r="S11" s="59" t="str">
        <f t="shared" si="3"/>
        <v/>
      </c>
      <c r="T11" s="54"/>
      <c r="U11" s="59" t="str">
        <f t="shared" si="4"/>
        <v/>
      </c>
      <c r="V11" s="59" t="str">
        <f t="shared" si="5"/>
        <v/>
      </c>
      <c r="W11" s="54"/>
      <c r="X11" s="54"/>
      <c r="Y11" s="60" t="str">
        <f t="shared" si="6"/>
        <v/>
      </c>
      <c r="Z11" s="34" t="str">
        <f>IF($A11="","",RANK(Y11,$Y$5:$Y$152)+COUNTIF($Y$5:Y11,Y11)-1)</f>
        <v/>
      </c>
    </row>
    <row r="12" spans="1:26" s="44" customFormat="1" x14ac:dyDescent="0.3">
      <c r="A12" s="54"/>
      <c r="B12" s="54"/>
      <c r="C12" s="54"/>
      <c r="D12" s="55"/>
      <c r="E12" s="54"/>
      <c r="F12" s="54"/>
      <c r="G12" s="56"/>
      <c r="H12" s="57"/>
      <c r="I12" s="57"/>
      <c r="J12" s="57"/>
      <c r="K12" s="57"/>
      <c r="L12" s="57"/>
      <c r="M12" s="57"/>
      <c r="N12" s="57"/>
      <c r="O12" s="57"/>
      <c r="P12" s="36" t="str">
        <f t="shared" si="0"/>
        <v/>
      </c>
      <c r="Q12" s="58" t="str">
        <f t="shared" si="1"/>
        <v/>
      </c>
      <c r="R12" s="59" t="str">
        <f t="shared" si="2"/>
        <v/>
      </c>
      <c r="S12" s="59" t="str">
        <f t="shared" si="3"/>
        <v/>
      </c>
      <c r="T12" s="54"/>
      <c r="U12" s="59" t="str">
        <f t="shared" si="4"/>
        <v/>
      </c>
      <c r="V12" s="59" t="str">
        <f t="shared" si="5"/>
        <v/>
      </c>
      <c r="W12" s="54"/>
      <c r="X12" s="54"/>
      <c r="Y12" s="60" t="str">
        <f t="shared" si="6"/>
        <v/>
      </c>
      <c r="Z12" s="34" t="str">
        <f>IF($A12="","",RANK(Y12,$Y$5:$Y$152)+COUNTIF($Y$5:Y12,Y12)-1)</f>
        <v/>
      </c>
    </row>
    <row r="13" spans="1:26" s="44" customFormat="1" x14ac:dyDescent="0.3">
      <c r="A13" s="54"/>
      <c r="B13" s="54"/>
      <c r="C13" s="54"/>
      <c r="D13" s="55"/>
      <c r="E13" s="54"/>
      <c r="F13" s="54"/>
      <c r="G13" s="56"/>
      <c r="H13" s="57"/>
      <c r="I13" s="57"/>
      <c r="J13" s="57"/>
      <c r="K13" s="57"/>
      <c r="L13" s="57"/>
      <c r="M13" s="57"/>
      <c r="N13" s="57"/>
      <c r="O13" s="57"/>
      <c r="P13" s="36" t="str">
        <f t="shared" si="0"/>
        <v/>
      </c>
      <c r="Q13" s="58" t="str">
        <f t="shared" si="1"/>
        <v/>
      </c>
      <c r="R13" s="59" t="str">
        <f t="shared" si="2"/>
        <v/>
      </c>
      <c r="S13" s="59" t="str">
        <f t="shared" si="3"/>
        <v/>
      </c>
      <c r="T13" s="54"/>
      <c r="U13" s="59" t="str">
        <f t="shared" si="4"/>
        <v/>
      </c>
      <c r="V13" s="59" t="str">
        <f t="shared" si="5"/>
        <v/>
      </c>
      <c r="W13" s="54"/>
      <c r="X13" s="54"/>
      <c r="Y13" s="60" t="str">
        <f t="shared" si="6"/>
        <v/>
      </c>
      <c r="Z13" s="34" t="str">
        <f>IF($A13="","",RANK(Y13,$Y$5:$Y$152)+COUNTIF($Y$5:Y13,Y13)-1)</f>
        <v/>
      </c>
    </row>
    <row r="14" spans="1:26" s="44" customFormat="1" x14ac:dyDescent="0.3">
      <c r="A14" s="54"/>
      <c r="B14" s="54"/>
      <c r="C14" s="54"/>
      <c r="D14" s="55"/>
      <c r="E14" s="54"/>
      <c r="F14" s="54"/>
      <c r="G14" s="56"/>
      <c r="H14" s="57"/>
      <c r="I14" s="57"/>
      <c r="J14" s="57"/>
      <c r="K14" s="57"/>
      <c r="L14" s="57"/>
      <c r="M14" s="57"/>
      <c r="N14" s="57"/>
      <c r="O14" s="57"/>
      <c r="P14" s="36" t="str">
        <f t="shared" si="0"/>
        <v/>
      </c>
      <c r="Q14" s="58" t="str">
        <f t="shared" si="1"/>
        <v/>
      </c>
      <c r="R14" s="59" t="str">
        <f t="shared" si="2"/>
        <v/>
      </c>
      <c r="S14" s="59" t="str">
        <f t="shared" si="3"/>
        <v/>
      </c>
      <c r="T14" s="54"/>
      <c r="U14" s="59" t="str">
        <f t="shared" si="4"/>
        <v/>
      </c>
      <c r="V14" s="59" t="str">
        <f t="shared" si="5"/>
        <v/>
      </c>
      <c r="W14" s="54"/>
      <c r="X14" s="54"/>
      <c r="Y14" s="60" t="str">
        <f t="shared" si="6"/>
        <v/>
      </c>
      <c r="Z14" s="34" t="str">
        <f>IF($A14="","",RANK(Y14,$Y$5:$Y$152)+COUNTIF($Y$5:Y14,Y14)-1)</f>
        <v/>
      </c>
    </row>
    <row r="15" spans="1:26" s="44" customFormat="1" x14ac:dyDescent="0.3">
      <c r="A15" s="54"/>
      <c r="B15" s="54"/>
      <c r="C15" s="54"/>
      <c r="D15" s="55"/>
      <c r="E15" s="54"/>
      <c r="F15" s="54"/>
      <c r="G15" s="56"/>
      <c r="H15" s="57"/>
      <c r="I15" s="57"/>
      <c r="J15" s="57"/>
      <c r="K15" s="57"/>
      <c r="L15" s="57"/>
      <c r="M15" s="57"/>
      <c r="N15" s="57"/>
      <c r="O15" s="57"/>
      <c r="P15" s="36" t="str">
        <f t="shared" si="0"/>
        <v/>
      </c>
      <c r="Q15" s="58" t="str">
        <f t="shared" si="1"/>
        <v/>
      </c>
      <c r="R15" s="59" t="str">
        <f t="shared" si="2"/>
        <v/>
      </c>
      <c r="S15" s="59" t="str">
        <f t="shared" si="3"/>
        <v/>
      </c>
      <c r="T15" s="54"/>
      <c r="U15" s="59" t="str">
        <f t="shared" si="4"/>
        <v/>
      </c>
      <c r="V15" s="59" t="str">
        <f t="shared" si="5"/>
        <v/>
      </c>
      <c r="W15" s="54"/>
      <c r="X15" s="54"/>
      <c r="Y15" s="60" t="str">
        <f t="shared" si="6"/>
        <v/>
      </c>
      <c r="Z15" s="34" t="str">
        <f>IF($A15="","",RANK(Y15,$Y$5:$Y$152)+COUNTIF($Y$5:Y15,Y15)-1)</f>
        <v/>
      </c>
    </row>
    <row r="16" spans="1:26" s="44" customFormat="1" x14ac:dyDescent="0.3">
      <c r="A16" s="54"/>
      <c r="B16" s="54"/>
      <c r="C16" s="54"/>
      <c r="D16" s="55"/>
      <c r="E16" s="54"/>
      <c r="F16" s="54"/>
      <c r="G16" s="56"/>
      <c r="H16" s="57"/>
      <c r="I16" s="57"/>
      <c r="J16" s="57"/>
      <c r="K16" s="57"/>
      <c r="L16" s="57"/>
      <c r="M16" s="57"/>
      <c r="N16" s="57"/>
      <c r="O16" s="57"/>
      <c r="P16" s="36" t="str">
        <f t="shared" si="0"/>
        <v/>
      </c>
      <c r="Q16" s="58" t="str">
        <f t="shared" si="1"/>
        <v/>
      </c>
      <c r="R16" s="59" t="str">
        <f t="shared" si="2"/>
        <v/>
      </c>
      <c r="S16" s="59" t="str">
        <f t="shared" si="3"/>
        <v/>
      </c>
      <c r="T16" s="54"/>
      <c r="U16" s="59" t="str">
        <f t="shared" si="4"/>
        <v/>
      </c>
      <c r="V16" s="59" t="str">
        <f t="shared" si="5"/>
        <v/>
      </c>
      <c r="W16" s="54"/>
      <c r="X16" s="54"/>
      <c r="Y16" s="60" t="str">
        <f t="shared" si="6"/>
        <v/>
      </c>
      <c r="Z16" s="34" t="str">
        <f>IF($A16="","",RANK(Y16,$Y$5:$Y$152)+COUNTIF($Y$5:Y16,Y16)-1)</f>
        <v/>
      </c>
    </row>
    <row r="17" spans="1:26" s="44" customFormat="1" x14ac:dyDescent="0.3">
      <c r="A17" s="54"/>
      <c r="B17" s="54"/>
      <c r="C17" s="54"/>
      <c r="D17" s="55"/>
      <c r="E17" s="54"/>
      <c r="F17" s="54"/>
      <c r="G17" s="56"/>
      <c r="H17" s="57"/>
      <c r="I17" s="57"/>
      <c r="J17" s="57"/>
      <c r="K17" s="57"/>
      <c r="L17" s="57"/>
      <c r="M17" s="57"/>
      <c r="N17" s="57"/>
      <c r="O17" s="57"/>
      <c r="P17" s="36" t="str">
        <f t="shared" si="0"/>
        <v/>
      </c>
      <c r="Q17" s="58" t="str">
        <f t="shared" si="1"/>
        <v/>
      </c>
      <c r="R17" s="59" t="str">
        <f t="shared" si="2"/>
        <v/>
      </c>
      <c r="S17" s="59" t="str">
        <f t="shared" si="3"/>
        <v/>
      </c>
      <c r="T17" s="54"/>
      <c r="U17" s="59" t="str">
        <f t="shared" si="4"/>
        <v/>
      </c>
      <c r="V17" s="59" t="str">
        <f t="shared" si="5"/>
        <v/>
      </c>
      <c r="W17" s="54"/>
      <c r="X17" s="54"/>
      <c r="Y17" s="60" t="str">
        <f t="shared" si="6"/>
        <v/>
      </c>
      <c r="Z17" s="34" t="str">
        <f>IF($A17="","",RANK(Y17,$Y$5:$Y$152)+COUNTIF($Y$5:Y17,Y17)-1)</f>
        <v/>
      </c>
    </row>
    <row r="18" spans="1:26" s="44" customFormat="1" x14ac:dyDescent="0.3">
      <c r="A18" s="54"/>
      <c r="B18" s="54"/>
      <c r="C18" s="54"/>
      <c r="D18" s="55"/>
      <c r="E18" s="54"/>
      <c r="F18" s="54"/>
      <c r="G18" s="56"/>
      <c r="H18" s="57"/>
      <c r="I18" s="57"/>
      <c r="J18" s="57"/>
      <c r="K18" s="57"/>
      <c r="L18" s="57"/>
      <c r="M18" s="57"/>
      <c r="N18" s="57"/>
      <c r="O18" s="57"/>
      <c r="P18" s="36" t="str">
        <f t="shared" si="0"/>
        <v/>
      </c>
      <c r="Q18" s="58" t="str">
        <f t="shared" si="1"/>
        <v/>
      </c>
      <c r="R18" s="59" t="str">
        <f t="shared" si="2"/>
        <v/>
      </c>
      <c r="S18" s="59" t="str">
        <f t="shared" si="3"/>
        <v/>
      </c>
      <c r="T18" s="54"/>
      <c r="U18" s="59" t="str">
        <f t="shared" si="4"/>
        <v/>
      </c>
      <c r="V18" s="59" t="str">
        <f t="shared" si="5"/>
        <v/>
      </c>
      <c r="W18" s="54"/>
      <c r="X18" s="54"/>
      <c r="Y18" s="60" t="str">
        <f t="shared" si="6"/>
        <v/>
      </c>
      <c r="Z18" s="34" t="str">
        <f>IF($A18="","",RANK(Y18,$Y$5:$Y$152)+COUNTIF($Y$5:Y18,Y18)-1)</f>
        <v/>
      </c>
    </row>
    <row r="19" spans="1:26" s="44" customFormat="1" x14ac:dyDescent="0.3">
      <c r="A19" s="54"/>
      <c r="B19" s="54"/>
      <c r="C19" s="54"/>
      <c r="D19" s="55"/>
      <c r="E19" s="54"/>
      <c r="F19" s="54"/>
      <c r="G19" s="56"/>
      <c r="H19" s="57"/>
      <c r="I19" s="57"/>
      <c r="J19" s="57"/>
      <c r="K19" s="57"/>
      <c r="L19" s="57"/>
      <c r="M19" s="57"/>
      <c r="N19" s="57"/>
      <c r="O19" s="57"/>
      <c r="P19" s="36" t="str">
        <f t="shared" si="0"/>
        <v/>
      </c>
      <c r="Q19" s="58" t="str">
        <f t="shared" si="1"/>
        <v/>
      </c>
      <c r="R19" s="59" t="str">
        <f t="shared" si="2"/>
        <v/>
      </c>
      <c r="S19" s="59" t="str">
        <f t="shared" si="3"/>
        <v/>
      </c>
      <c r="T19" s="54"/>
      <c r="U19" s="59" t="str">
        <f t="shared" si="4"/>
        <v/>
      </c>
      <c r="V19" s="59" t="str">
        <f t="shared" si="5"/>
        <v/>
      </c>
      <c r="W19" s="54"/>
      <c r="X19" s="54"/>
      <c r="Y19" s="60" t="str">
        <f t="shared" si="6"/>
        <v/>
      </c>
      <c r="Z19" s="34" t="str">
        <f>IF($A19="","",RANK(Y19,$Y$5:$Y$152)+COUNTIF($Y$5:Y19,Y19)-1)</f>
        <v/>
      </c>
    </row>
    <row r="20" spans="1:26" s="44" customFormat="1" x14ac:dyDescent="0.3">
      <c r="A20" s="54"/>
      <c r="B20" s="54"/>
      <c r="C20" s="54"/>
      <c r="D20" s="55"/>
      <c r="E20" s="54"/>
      <c r="F20" s="54"/>
      <c r="G20" s="56"/>
      <c r="H20" s="57"/>
      <c r="I20" s="57"/>
      <c r="J20" s="57"/>
      <c r="K20" s="57"/>
      <c r="L20" s="57"/>
      <c r="M20" s="57"/>
      <c r="N20" s="57"/>
      <c r="O20" s="57"/>
      <c r="P20" s="36" t="str">
        <f t="shared" si="0"/>
        <v/>
      </c>
      <c r="Q20" s="58" t="str">
        <f t="shared" si="1"/>
        <v/>
      </c>
      <c r="R20" s="59" t="str">
        <f t="shared" si="2"/>
        <v/>
      </c>
      <c r="S20" s="59" t="str">
        <f t="shared" si="3"/>
        <v/>
      </c>
      <c r="T20" s="54"/>
      <c r="U20" s="59" t="str">
        <f t="shared" si="4"/>
        <v/>
      </c>
      <c r="V20" s="59" t="str">
        <f t="shared" si="5"/>
        <v/>
      </c>
      <c r="W20" s="54"/>
      <c r="X20" s="54"/>
      <c r="Y20" s="60" t="str">
        <f t="shared" si="6"/>
        <v/>
      </c>
      <c r="Z20" s="34" t="str">
        <f>IF($A20="","",RANK(Y20,$Y$5:$Y$152)+COUNTIF($Y$5:Y20,Y20)-1)</f>
        <v/>
      </c>
    </row>
    <row r="21" spans="1:26" s="44" customFormat="1" x14ac:dyDescent="0.3">
      <c r="A21" s="54"/>
      <c r="B21" s="54"/>
      <c r="C21" s="54"/>
      <c r="D21" s="55"/>
      <c r="E21" s="54"/>
      <c r="F21" s="54"/>
      <c r="G21" s="56"/>
      <c r="H21" s="57"/>
      <c r="I21" s="57"/>
      <c r="J21" s="57"/>
      <c r="K21" s="57"/>
      <c r="L21" s="57"/>
      <c r="M21" s="57"/>
      <c r="N21" s="57"/>
      <c r="O21" s="57"/>
      <c r="P21" s="36" t="str">
        <f t="shared" si="0"/>
        <v/>
      </c>
      <c r="Q21" s="58" t="str">
        <f t="shared" si="1"/>
        <v/>
      </c>
      <c r="R21" s="59" t="str">
        <f t="shared" si="2"/>
        <v/>
      </c>
      <c r="S21" s="59" t="str">
        <f t="shared" si="3"/>
        <v/>
      </c>
      <c r="T21" s="54"/>
      <c r="U21" s="59" t="str">
        <f t="shared" si="4"/>
        <v/>
      </c>
      <c r="V21" s="59" t="str">
        <f t="shared" si="5"/>
        <v/>
      </c>
      <c r="W21" s="54"/>
      <c r="X21" s="54"/>
      <c r="Y21" s="60" t="str">
        <f t="shared" si="6"/>
        <v/>
      </c>
      <c r="Z21" s="34" t="str">
        <f>IF($A21="","",RANK(Y21,$Y$5:$Y$152)+COUNTIF($Y$5:Y21,Y21)-1)</f>
        <v/>
      </c>
    </row>
    <row r="22" spans="1:26" s="44" customFormat="1" x14ac:dyDescent="0.3">
      <c r="A22" s="54"/>
      <c r="B22" s="54"/>
      <c r="C22" s="54"/>
      <c r="D22" s="55"/>
      <c r="E22" s="54"/>
      <c r="F22" s="54"/>
      <c r="G22" s="56"/>
      <c r="H22" s="57"/>
      <c r="I22" s="57"/>
      <c r="J22" s="57"/>
      <c r="K22" s="57"/>
      <c r="L22" s="57"/>
      <c r="M22" s="57"/>
      <c r="N22" s="57"/>
      <c r="O22" s="57"/>
      <c r="P22" s="36" t="str">
        <f t="shared" si="0"/>
        <v/>
      </c>
      <c r="Q22" s="58" t="str">
        <f t="shared" si="1"/>
        <v/>
      </c>
      <c r="R22" s="59" t="str">
        <f t="shared" si="2"/>
        <v/>
      </c>
      <c r="S22" s="59" t="str">
        <f t="shared" si="3"/>
        <v/>
      </c>
      <c r="T22" s="54"/>
      <c r="U22" s="59" t="str">
        <f t="shared" si="4"/>
        <v/>
      </c>
      <c r="V22" s="59" t="str">
        <f t="shared" si="5"/>
        <v/>
      </c>
      <c r="W22" s="54"/>
      <c r="X22" s="54"/>
      <c r="Y22" s="60" t="str">
        <f t="shared" si="6"/>
        <v/>
      </c>
      <c r="Z22" s="34" t="str">
        <f>IF($A22="","",RANK(Y22,$Y$5:$Y$152)+COUNTIF($Y$5:Y22,Y22)-1)</f>
        <v/>
      </c>
    </row>
    <row r="23" spans="1:26" s="44" customFormat="1" x14ac:dyDescent="0.3">
      <c r="A23" s="54"/>
      <c r="B23" s="54"/>
      <c r="C23" s="54"/>
      <c r="D23" s="55"/>
      <c r="E23" s="54"/>
      <c r="F23" s="54"/>
      <c r="G23" s="56"/>
      <c r="H23" s="57"/>
      <c r="I23" s="57"/>
      <c r="J23" s="57"/>
      <c r="K23" s="57"/>
      <c r="L23" s="57"/>
      <c r="M23" s="57"/>
      <c r="N23" s="57"/>
      <c r="O23" s="57"/>
      <c r="P23" s="36" t="str">
        <f t="shared" si="0"/>
        <v/>
      </c>
      <c r="Q23" s="58" t="str">
        <f t="shared" si="1"/>
        <v/>
      </c>
      <c r="R23" s="59" t="str">
        <f t="shared" si="2"/>
        <v/>
      </c>
      <c r="S23" s="59" t="str">
        <f t="shared" si="3"/>
        <v/>
      </c>
      <c r="T23" s="54"/>
      <c r="U23" s="59" t="str">
        <f t="shared" si="4"/>
        <v/>
      </c>
      <c r="V23" s="59" t="str">
        <f t="shared" si="5"/>
        <v/>
      </c>
      <c r="W23" s="54"/>
      <c r="X23" s="54"/>
      <c r="Y23" s="60" t="str">
        <f t="shared" si="6"/>
        <v/>
      </c>
      <c r="Z23" s="34" t="str">
        <f>IF($A23="","",RANK(Y23,$Y$5:$Y$152)+COUNTIF($Y$5:Y23,Y23)-1)</f>
        <v/>
      </c>
    </row>
    <row r="24" spans="1:26" s="44" customFormat="1" x14ac:dyDescent="0.3">
      <c r="A24" s="54"/>
      <c r="B24" s="54"/>
      <c r="C24" s="54"/>
      <c r="D24" s="55"/>
      <c r="E24" s="54"/>
      <c r="F24" s="54"/>
      <c r="G24" s="56"/>
      <c r="H24" s="57"/>
      <c r="I24" s="57"/>
      <c r="J24" s="57"/>
      <c r="K24" s="57"/>
      <c r="L24" s="57"/>
      <c r="M24" s="57"/>
      <c r="N24" s="57"/>
      <c r="O24" s="57"/>
      <c r="P24" s="36" t="str">
        <f t="shared" si="0"/>
        <v/>
      </c>
      <c r="Q24" s="58" t="str">
        <f t="shared" si="1"/>
        <v/>
      </c>
      <c r="R24" s="59" t="str">
        <f t="shared" si="2"/>
        <v/>
      </c>
      <c r="S24" s="59" t="str">
        <f t="shared" si="3"/>
        <v/>
      </c>
      <c r="T24" s="54"/>
      <c r="U24" s="59" t="str">
        <f t="shared" si="4"/>
        <v/>
      </c>
      <c r="V24" s="59" t="str">
        <f t="shared" si="5"/>
        <v/>
      </c>
      <c r="W24" s="54"/>
      <c r="X24" s="54"/>
      <c r="Y24" s="60" t="str">
        <f t="shared" si="6"/>
        <v/>
      </c>
      <c r="Z24" s="34" t="str">
        <f>IF($A24="","",RANK(Y24,$Y$5:$Y$152)+COUNTIF($Y$5:Y24,Y24)-1)</f>
        <v/>
      </c>
    </row>
    <row r="25" spans="1:26" s="44" customFormat="1" x14ac:dyDescent="0.3">
      <c r="A25" s="54"/>
      <c r="B25" s="54"/>
      <c r="C25" s="54"/>
      <c r="D25" s="55"/>
      <c r="E25" s="54"/>
      <c r="F25" s="54"/>
      <c r="G25" s="56"/>
      <c r="H25" s="57"/>
      <c r="I25" s="57"/>
      <c r="J25" s="57"/>
      <c r="K25" s="57"/>
      <c r="L25" s="57"/>
      <c r="M25" s="57"/>
      <c r="N25" s="57"/>
      <c r="O25" s="57"/>
      <c r="P25" s="36" t="str">
        <f t="shared" si="0"/>
        <v/>
      </c>
      <c r="Q25" s="58" t="str">
        <f t="shared" si="1"/>
        <v/>
      </c>
      <c r="R25" s="59" t="str">
        <f t="shared" si="2"/>
        <v/>
      </c>
      <c r="S25" s="59" t="str">
        <f t="shared" si="3"/>
        <v/>
      </c>
      <c r="T25" s="54"/>
      <c r="U25" s="59" t="str">
        <f t="shared" si="4"/>
        <v/>
      </c>
      <c r="V25" s="59" t="str">
        <f t="shared" si="5"/>
        <v/>
      </c>
      <c r="W25" s="54"/>
      <c r="X25" s="54"/>
      <c r="Y25" s="60" t="str">
        <f t="shared" si="6"/>
        <v/>
      </c>
      <c r="Z25" s="34" t="str">
        <f>IF($A25="","",RANK(Y25,$Y$5:$Y$152)+COUNTIF($Y$5:Y25,Y25)-1)</f>
        <v/>
      </c>
    </row>
    <row r="26" spans="1:26" s="44" customFormat="1" x14ac:dyDescent="0.3">
      <c r="A26" s="54"/>
      <c r="B26" s="54"/>
      <c r="C26" s="54"/>
      <c r="D26" s="55"/>
      <c r="E26" s="54"/>
      <c r="F26" s="54"/>
      <c r="G26" s="56"/>
      <c r="H26" s="57"/>
      <c r="I26" s="57"/>
      <c r="J26" s="57"/>
      <c r="K26" s="57"/>
      <c r="L26" s="57"/>
      <c r="M26" s="57"/>
      <c r="N26" s="57"/>
      <c r="O26" s="57"/>
      <c r="P26" s="36" t="str">
        <f t="shared" si="0"/>
        <v/>
      </c>
      <c r="Q26" s="58" t="str">
        <f t="shared" si="1"/>
        <v/>
      </c>
      <c r="R26" s="59" t="str">
        <f t="shared" si="2"/>
        <v/>
      </c>
      <c r="S26" s="59" t="str">
        <f t="shared" si="3"/>
        <v/>
      </c>
      <c r="T26" s="54"/>
      <c r="U26" s="59" t="str">
        <f t="shared" si="4"/>
        <v/>
      </c>
      <c r="V26" s="59" t="str">
        <f t="shared" si="5"/>
        <v/>
      </c>
      <c r="W26" s="54"/>
      <c r="X26" s="54"/>
      <c r="Y26" s="60" t="str">
        <f t="shared" si="6"/>
        <v/>
      </c>
      <c r="Z26" s="34" t="str">
        <f>IF($A26="","",RANK(Y26,$Y$5:$Y$152)+COUNTIF($Y$5:Y26,Y26)-1)</f>
        <v/>
      </c>
    </row>
    <row r="27" spans="1:26" s="44" customFormat="1" x14ac:dyDescent="0.3">
      <c r="A27" s="54"/>
      <c r="B27" s="54"/>
      <c r="C27" s="54"/>
      <c r="D27" s="55"/>
      <c r="E27" s="54"/>
      <c r="F27" s="54"/>
      <c r="G27" s="56"/>
      <c r="H27" s="57"/>
      <c r="I27" s="57"/>
      <c r="J27" s="57"/>
      <c r="K27" s="57"/>
      <c r="L27" s="57"/>
      <c r="M27" s="57"/>
      <c r="N27" s="57"/>
      <c r="O27" s="57"/>
      <c r="P27" s="36" t="str">
        <f t="shared" si="0"/>
        <v/>
      </c>
      <c r="Q27" s="58" t="str">
        <f t="shared" si="1"/>
        <v/>
      </c>
      <c r="R27" s="59" t="str">
        <f t="shared" si="2"/>
        <v/>
      </c>
      <c r="S27" s="59" t="str">
        <f t="shared" si="3"/>
        <v/>
      </c>
      <c r="T27" s="54"/>
      <c r="U27" s="59" t="str">
        <f t="shared" si="4"/>
        <v/>
      </c>
      <c r="V27" s="59" t="str">
        <f t="shared" si="5"/>
        <v/>
      </c>
      <c r="W27" s="54"/>
      <c r="X27" s="54"/>
      <c r="Y27" s="60" t="str">
        <f t="shared" si="6"/>
        <v/>
      </c>
      <c r="Z27" s="34" t="str">
        <f>IF($A27="","",RANK(Y27,$Y$5:$Y$152)+COUNTIF($Y$5:Y27,Y27)-1)</f>
        <v/>
      </c>
    </row>
    <row r="28" spans="1:26" s="44" customFormat="1" x14ac:dyDescent="0.3">
      <c r="A28" s="54"/>
      <c r="B28" s="54"/>
      <c r="C28" s="54"/>
      <c r="D28" s="55"/>
      <c r="E28" s="54"/>
      <c r="F28" s="54"/>
      <c r="G28" s="56"/>
      <c r="H28" s="57"/>
      <c r="I28" s="57"/>
      <c r="J28" s="57"/>
      <c r="K28" s="57"/>
      <c r="L28" s="57"/>
      <c r="M28" s="57"/>
      <c r="N28" s="57"/>
      <c r="O28" s="57"/>
      <c r="P28" s="36" t="str">
        <f t="shared" si="0"/>
        <v/>
      </c>
      <c r="Q28" s="58" t="str">
        <f t="shared" si="1"/>
        <v/>
      </c>
      <c r="R28" s="59" t="str">
        <f t="shared" si="2"/>
        <v/>
      </c>
      <c r="S28" s="59" t="str">
        <f t="shared" si="3"/>
        <v/>
      </c>
      <c r="T28" s="54"/>
      <c r="U28" s="59" t="str">
        <f t="shared" si="4"/>
        <v/>
      </c>
      <c r="V28" s="59" t="str">
        <f t="shared" si="5"/>
        <v/>
      </c>
      <c r="W28" s="54"/>
      <c r="X28" s="54"/>
      <c r="Y28" s="60" t="str">
        <f t="shared" si="6"/>
        <v/>
      </c>
      <c r="Z28" s="34" t="str">
        <f>IF($A28="","",RANK(Y28,$Y$5:$Y$152)+COUNTIF($Y$5:Y28,Y28)-1)</f>
        <v/>
      </c>
    </row>
    <row r="29" spans="1:26" s="44" customFormat="1" x14ac:dyDescent="0.3">
      <c r="A29" s="54"/>
      <c r="B29" s="54"/>
      <c r="C29" s="54"/>
      <c r="D29" s="55"/>
      <c r="E29" s="54"/>
      <c r="F29" s="54"/>
      <c r="G29" s="56"/>
      <c r="H29" s="57"/>
      <c r="I29" s="57"/>
      <c r="J29" s="57"/>
      <c r="K29" s="57"/>
      <c r="L29" s="57"/>
      <c r="M29" s="57"/>
      <c r="N29" s="57"/>
      <c r="O29" s="57"/>
      <c r="P29" s="36" t="str">
        <f t="shared" si="0"/>
        <v/>
      </c>
      <c r="Q29" s="58" t="str">
        <f t="shared" si="1"/>
        <v/>
      </c>
      <c r="R29" s="59" t="str">
        <f t="shared" si="2"/>
        <v/>
      </c>
      <c r="S29" s="59" t="str">
        <f t="shared" si="3"/>
        <v/>
      </c>
      <c r="T29" s="54"/>
      <c r="U29" s="59" t="str">
        <f t="shared" si="4"/>
        <v/>
      </c>
      <c r="V29" s="59" t="str">
        <f t="shared" si="5"/>
        <v/>
      </c>
      <c r="W29" s="54"/>
      <c r="X29" s="54"/>
      <c r="Y29" s="60" t="str">
        <f t="shared" si="6"/>
        <v/>
      </c>
      <c r="Z29" s="34" t="str">
        <f>IF($A29="","",RANK(Y29,$Y$5:$Y$152)+COUNTIF($Y$5:Y29,Y29)-1)</f>
        <v/>
      </c>
    </row>
    <row r="30" spans="1:26" s="44" customFormat="1" x14ac:dyDescent="0.3">
      <c r="A30" s="54"/>
      <c r="B30" s="54"/>
      <c r="C30" s="54"/>
      <c r="D30" s="55"/>
      <c r="E30" s="54"/>
      <c r="F30" s="54"/>
      <c r="G30" s="56"/>
      <c r="H30" s="57"/>
      <c r="I30" s="57"/>
      <c r="J30" s="57"/>
      <c r="K30" s="57"/>
      <c r="L30" s="57"/>
      <c r="M30" s="57"/>
      <c r="N30" s="57"/>
      <c r="O30" s="57"/>
      <c r="P30" s="36" t="str">
        <f t="shared" si="0"/>
        <v/>
      </c>
      <c r="Q30" s="58" t="str">
        <f t="shared" si="1"/>
        <v/>
      </c>
      <c r="R30" s="59" t="str">
        <f t="shared" si="2"/>
        <v/>
      </c>
      <c r="S30" s="59" t="str">
        <f t="shared" si="3"/>
        <v/>
      </c>
      <c r="T30" s="54"/>
      <c r="U30" s="59" t="str">
        <f t="shared" si="4"/>
        <v/>
      </c>
      <c r="V30" s="59" t="str">
        <f t="shared" si="5"/>
        <v/>
      </c>
      <c r="W30" s="54"/>
      <c r="X30" s="54"/>
      <c r="Y30" s="60" t="str">
        <f t="shared" si="6"/>
        <v/>
      </c>
      <c r="Z30" s="34" t="str">
        <f>IF($A30="","",RANK(Y30,$Y$5:$Y$152)+COUNTIF($Y$5:Y30,Y30)-1)</f>
        <v/>
      </c>
    </row>
    <row r="31" spans="1:26" s="44" customFormat="1" x14ac:dyDescent="0.3">
      <c r="A31" s="54"/>
      <c r="B31" s="54"/>
      <c r="C31" s="54"/>
      <c r="D31" s="55"/>
      <c r="E31" s="54"/>
      <c r="F31" s="54"/>
      <c r="G31" s="56"/>
      <c r="H31" s="57"/>
      <c r="I31" s="57"/>
      <c r="J31" s="57"/>
      <c r="K31" s="57"/>
      <c r="L31" s="57"/>
      <c r="M31" s="57"/>
      <c r="N31" s="57"/>
      <c r="O31" s="57"/>
      <c r="P31" s="36" t="str">
        <f t="shared" si="0"/>
        <v/>
      </c>
      <c r="Q31" s="58" t="str">
        <f t="shared" si="1"/>
        <v/>
      </c>
      <c r="R31" s="59" t="str">
        <f t="shared" si="2"/>
        <v/>
      </c>
      <c r="S31" s="59" t="str">
        <f t="shared" si="3"/>
        <v/>
      </c>
      <c r="T31" s="54"/>
      <c r="U31" s="59" t="str">
        <f t="shared" si="4"/>
        <v/>
      </c>
      <c r="V31" s="59" t="str">
        <f t="shared" si="5"/>
        <v/>
      </c>
      <c r="W31" s="54"/>
      <c r="X31" s="54"/>
      <c r="Y31" s="60" t="str">
        <f t="shared" si="6"/>
        <v/>
      </c>
      <c r="Z31" s="34" t="str">
        <f>IF($A31="","",RANK(Y31,$Y$5:$Y$152)+COUNTIF($Y$5:Y31,Y31)-1)</f>
        <v/>
      </c>
    </row>
    <row r="32" spans="1:26" s="44" customFormat="1" x14ac:dyDescent="0.3">
      <c r="A32" s="54"/>
      <c r="B32" s="54"/>
      <c r="C32" s="54"/>
      <c r="D32" s="55"/>
      <c r="E32" s="54"/>
      <c r="F32" s="54"/>
      <c r="G32" s="56"/>
      <c r="H32" s="57"/>
      <c r="I32" s="57"/>
      <c r="J32" s="57"/>
      <c r="K32" s="57"/>
      <c r="L32" s="57"/>
      <c r="M32" s="57"/>
      <c r="N32" s="57"/>
      <c r="O32" s="57"/>
      <c r="P32" s="36" t="str">
        <f t="shared" si="0"/>
        <v/>
      </c>
      <c r="Q32" s="58" t="str">
        <f t="shared" si="1"/>
        <v/>
      </c>
      <c r="R32" s="59" t="str">
        <f t="shared" si="2"/>
        <v/>
      </c>
      <c r="S32" s="59" t="str">
        <f t="shared" si="3"/>
        <v/>
      </c>
      <c r="T32" s="54"/>
      <c r="U32" s="59" t="str">
        <f t="shared" si="4"/>
        <v/>
      </c>
      <c r="V32" s="59" t="str">
        <f t="shared" si="5"/>
        <v/>
      </c>
      <c r="W32" s="54"/>
      <c r="X32" s="54"/>
      <c r="Y32" s="60" t="str">
        <f t="shared" si="6"/>
        <v/>
      </c>
      <c r="Z32" s="34" t="str">
        <f>IF($A32="","",RANK(Y32,$Y$5:$Y$152)+COUNTIF($Y$5:Y32,Y32)-1)</f>
        <v/>
      </c>
    </row>
    <row r="33" spans="1:26" s="44" customFormat="1" x14ac:dyDescent="0.3">
      <c r="A33" s="54"/>
      <c r="B33" s="54"/>
      <c r="C33" s="54"/>
      <c r="D33" s="55"/>
      <c r="E33" s="54"/>
      <c r="F33" s="54"/>
      <c r="G33" s="56"/>
      <c r="H33" s="57"/>
      <c r="I33" s="57"/>
      <c r="J33" s="57"/>
      <c r="K33" s="57"/>
      <c r="L33" s="57"/>
      <c r="M33" s="57"/>
      <c r="N33" s="57"/>
      <c r="O33" s="57"/>
      <c r="P33" s="36" t="str">
        <f t="shared" si="0"/>
        <v/>
      </c>
      <c r="Q33" s="58" t="str">
        <f t="shared" si="1"/>
        <v/>
      </c>
      <c r="R33" s="59" t="str">
        <f t="shared" si="2"/>
        <v/>
      </c>
      <c r="S33" s="59" t="str">
        <f t="shared" si="3"/>
        <v/>
      </c>
      <c r="T33" s="54"/>
      <c r="U33" s="59" t="str">
        <f t="shared" si="4"/>
        <v/>
      </c>
      <c r="V33" s="59" t="str">
        <f t="shared" si="5"/>
        <v/>
      </c>
      <c r="W33" s="54"/>
      <c r="X33" s="54"/>
      <c r="Y33" s="60" t="str">
        <f t="shared" si="6"/>
        <v/>
      </c>
      <c r="Z33" s="34" t="str">
        <f>IF($A33="","",RANK(Y33,$Y$5:$Y$152)+COUNTIF($Y$5:Y33,Y33)-1)</f>
        <v/>
      </c>
    </row>
    <row r="34" spans="1:26" s="44" customFormat="1" x14ac:dyDescent="0.3">
      <c r="A34" s="54"/>
      <c r="B34" s="54"/>
      <c r="C34" s="54"/>
      <c r="D34" s="55"/>
      <c r="E34" s="54"/>
      <c r="F34" s="54"/>
      <c r="G34" s="56"/>
      <c r="H34" s="57"/>
      <c r="I34" s="57"/>
      <c r="J34" s="57"/>
      <c r="K34" s="57"/>
      <c r="L34" s="57"/>
      <c r="M34" s="57"/>
      <c r="N34" s="57"/>
      <c r="O34" s="57"/>
      <c r="P34" s="36" t="str">
        <f t="shared" si="0"/>
        <v/>
      </c>
      <c r="Q34" s="58" t="str">
        <f t="shared" si="1"/>
        <v/>
      </c>
      <c r="R34" s="59" t="str">
        <f t="shared" si="2"/>
        <v/>
      </c>
      <c r="S34" s="59" t="str">
        <f t="shared" si="3"/>
        <v/>
      </c>
      <c r="T34" s="54"/>
      <c r="U34" s="59" t="str">
        <f t="shared" si="4"/>
        <v/>
      </c>
      <c r="V34" s="59" t="str">
        <f t="shared" si="5"/>
        <v/>
      </c>
      <c r="W34" s="54"/>
      <c r="X34" s="54"/>
      <c r="Y34" s="60" t="str">
        <f t="shared" si="6"/>
        <v/>
      </c>
      <c r="Z34" s="34" t="str">
        <f>IF($A34="","",RANK(Y34,$Y$5:$Y$152)+COUNTIF($Y$5:Y34,Y34)-1)</f>
        <v/>
      </c>
    </row>
    <row r="35" spans="1:26" s="44" customFormat="1" x14ac:dyDescent="0.3">
      <c r="A35" s="54"/>
      <c r="B35" s="54"/>
      <c r="C35" s="54"/>
      <c r="D35" s="55"/>
      <c r="E35" s="54"/>
      <c r="F35" s="54"/>
      <c r="G35" s="56"/>
      <c r="H35" s="57"/>
      <c r="I35" s="57"/>
      <c r="J35" s="57"/>
      <c r="K35" s="57"/>
      <c r="L35" s="57"/>
      <c r="M35" s="57"/>
      <c r="N35" s="57"/>
      <c r="O35" s="57"/>
      <c r="P35" s="36" t="str">
        <f t="shared" ref="P35:P66" si="7">IF($A35="","",SUM(H35:O35))</f>
        <v/>
      </c>
      <c r="Q35" s="58" t="str">
        <f t="shared" ref="Q35:Q66" si="8">IF($A35="","",P35/100)</f>
        <v/>
      </c>
      <c r="R35" s="59" t="str">
        <f t="shared" ref="R35:R66" si="9">IF($A35="","",INDEX(ParamRangoNivel,MATCH(P35,ParamRangoDesde,1)))</f>
        <v/>
      </c>
      <c r="S35" s="59" t="str">
        <f t="shared" ref="S35:S66" si="10">IF($A35="","",IF(T35="Sí","PRIORIDAD 1",INDEX(ParamPrioNombre,MATCH(P35,ParamPrioDesde,1))))</f>
        <v/>
      </c>
      <c r="T35" s="54"/>
      <c r="U35" s="59" t="str">
        <f t="shared" ref="U35:U66" si="11">IF($A35="","",IF(K35="","",IF(K35/20*100&gt;=60,"ALTA",IF(K35/20*100&gt;=30,"MEDIA","BAJA"))))</f>
        <v/>
      </c>
      <c r="V35" s="59" t="str">
        <f t="shared" ref="V35:V66" si="12">IF($A35="","",INDEX(ParamRangoSemaforo,MATCH(P35,ParamRangoDesde,1)))</f>
        <v/>
      </c>
      <c r="W35" s="54"/>
      <c r="X35" s="54"/>
      <c r="Y35" s="60" t="str">
        <f t="shared" ref="Y35:Y66" si="13">IF($A35="","",(IF(S35="PRIORIDAD 1",3,IF(S35="PRIORIDAD 2",2,1)))*100000+IF(T35="Sí",1000,0)+P35)</f>
        <v/>
      </c>
      <c r="Z35" s="34" t="str">
        <f>IF($A35="","",RANK(Y35,$Y$5:$Y$152)+COUNTIF($Y$5:Y35,Y35)-1)</f>
        <v/>
      </c>
    </row>
    <row r="36" spans="1:26" s="44" customFormat="1" x14ac:dyDescent="0.3">
      <c r="A36" s="54"/>
      <c r="B36" s="54"/>
      <c r="C36" s="54"/>
      <c r="D36" s="55"/>
      <c r="E36" s="54"/>
      <c r="F36" s="54"/>
      <c r="G36" s="56"/>
      <c r="H36" s="57"/>
      <c r="I36" s="57"/>
      <c r="J36" s="57"/>
      <c r="K36" s="57"/>
      <c r="L36" s="57"/>
      <c r="M36" s="57"/>
      <c r="N36" s="57"/>
      <c r="O36" s="57"/>
      <c r="P36" s="36" t="str">
        <f t="shared" si="7"/>
        <v/>
      </c>
      <c r="Q36" s="58" t="str">
        <f t="shared" si="8"/>
        <v/>
      </c>
      <c r="R36" s="59" t="str">
        <f t="shared" si="9"/>
        <v/>
      </c>
      <c r="S36" s="59" t="str">
        <f t="shared" si="10"/>
        <v/>
      </c>
      <c r="T36" s="54"/>
      <c r="U36" s="59" t="str">
        <f t="shared" si="11"/>
        <v/>
      </c>
      <c r="V36" s="59" t="str">
        <f t="shared" si="12"/>
        <v/>
      </c>
      <c r="W36" s="54"/>
      <c r="X36" s="54"/>
      <c r="Y36" s="60" t="str">
        <f t="shared" si="13"/>
        <v/>
      </c>
      <c r="Z36" s="34" t="str">
        <f>IF($A36="","",RANK(Y36,$Y$5:$Y$152)+COUNTIF($Y$5:Y36,Y36)-1)</f>
        <v/>
      </c>
    </row>
    <row r="37" spans="1:26" s="44" customFormat="1" x14ac:dyDescent="0.3">
      <c r="A37" s="54"/>
      <c r="B37" s="54"/>
      <c r="C37" s="54"/>
      <c r="D37" s="55"/>
      <c r="E37" s="54"/>
      <c r="F37" s="54"/>
      <c r="G37" s="56"/>
      <c r="H37" s="57"/>
      <c r="I37" s="57"/>
      <c r="J37" s="57"/>
      <c r="K37" s="57"/>
      <c r="L37" s="57"/>
      <c r="M37" s="57"/>
      <c r="N37" s="57"/>
      <c r="O37" s="57"/>
      <c r="P37" s="36" t="str">
        <f t="shared" si="7"/>
        <v/>
      </c>
      <c r="Q37" s="58" t="str">
        <f t="shared" si="8"/>
        <v/>
      </c>
      <c r="R37" s="59" t="str">
        <f t="shared" si="9"/>
        <v/>
      </c>
      <c r="S37" s="59" t="str">
        <f t="shared" si="10"/>
        <v/>
      </c>
      <c r="T37" s="54"/>
      <c r="U37" s="59" t="str">
        <f t="shared" si="11"/>
        <v/>
      </c>
      <c r="V37" s="59" t="str">
        <f t="shared" si="12"/>
        <v/>
      </c>
      <c r="W37" s="54"/>
      <c r="X37" s="54"/>
      <c r="Y37" s="60" t="str">
        <f t="shared" si="13"/>
        <v/>
      </c>
      <c r="Z37" s="34" t="str">
        <f>IF($A37="","",RANK(Y37,$Y$5:$Y$152)+COUNTIF($Y$5:Y37,Y37)-1)</f>
        <v/>
      </c>
    </row>
    <row r="38" spans="1:26" s="44" customFormat="1" x14ac:dyDescent="0.3">
      <c r="A38" s="54"/>
      <c r="B38" s="54"/>
      <c r="C38" s="54"/>
      <c r="D38" s="55"/>
      <c r="E38" s="54"/>
      <c r="F38" s="54"/>
      <c r="G38" s="56"/>
      <c r="H38" s="57"/>
      <c r="I38" s="57"/>
      <c r="J38" s="57"/>
      <c r="K38" s="57"/>
      <c r="L38" s="57"/>
      <c r="M38" s="57"/>
      <c r="N38" s="57"/>
      <c r="O38" s="57"/>
      <c r="P38" s="36" t="str">
        <f t="shared" si="7"/>
        <v/>
      </c>
      <c r="Q38" s="58" t="str">
        <f t="shared" si="8"/>
        <v/>
      </c>
      <c r="R38" s="59" t="str">
        <f t="shared" si="9"/>
        <v/>
      </c>
      <c r="S38" s="59" t="str">
        <f t="shared" si="10"/>
        <v/>
      </c>
      <c r="T38" s="54"/>
      <c r="U38" s="59" t="str">
        <f t="shared" si="11"/>
        <v/>
      </c>
      <c r="V38" s="59" t="str">
        <f t="shared" si="12"/>
        <v/>
      </c>
      <c r="W38" s="54"/>
      <c r="X38" s="54"/>
      <c r="Y38" s="60" t="str">
        <f t="shared" si="13"/>
        <v/>
      </c>
      <c r="Z38" s="34" t="str">
        <f>IF($A38="","",RANK(Y38,$Y$5:$Y$152)+COUNTIF($Y$5:Y38,Y38)-1)</f>
        <v/>
      </c>
    </row>
    <row r="39" spans="1:26" s="44" customFormat="1" x14ac:dyDescent="0.3">
      <c r="A39" s="54"/>
      <c r="B39" s="54"/>
      <c r="C39" s="54"/>
      <c r="D39" s="55"/>
      <c r="E39" s="54"/>
      <c r="F39" s="54"/>
      <c r="G39" s="56"/>
      <c r="H39" s="57"/>
      <c r="I39" s="57"/>
      <c r="J39" s="57"/>
      <c r="K39" s="57"/>
      <c r="L39" s="57"/>
      <c r="M39" s="57"/>
      <c r="N39" s="57"/>
      <c r="O39" s="57"/>
      <c r="P39" s="36" t="str">
        <f t="shared" si="7"/>
        <v/>
      </c>
      <c r="Q39" s="58" t="str">
        <f t="shared" si="8"/>
        <v/>
      </c>
      <c r="R39" s="59" t="str">
        <f t="shared" si="9"/>
        <v/>
      </c>
      <c r="S39" s="59" t="str">
        <f t="shared" si="10"/>
        <v/>
      </c>
      <c r="T39" s="54"/>
      <c r="U39" s="59" t="str">
        <f t="shared" si="11"/>
        <v/>
      </c>
      <c r="V39" s="59" t="str">
        <f t="shared" si="12"/>
        <v/>
      </c>
      <c r="W39" s="54"/>
      <c r="X39" s="54"/>
      <c r="Y39" s="60" t="str">
        <f t="shared" si="13"/>
        <v/>
      </c>
      <c r="Z39" s="34" t="str">
        <f>IF($A39="","",RANK(Y39,$Y$5:$Y$152)+COUNTIF($Y$5:Y39,Y39)-1)</f>
        <v/>
      </c>
    </row>
    <row r="40" spans="1:26" s="44" customFormat="1" x14ac:dyDescent="0.3">
      <c r="A40" s="54"/>
      <c r="B40" s="54"/>
      <c r="C40" s="54"/>
      <c r="D40" s="55"/>
      <c r="E40" s="54"/>
      <c r="F40" s="54"/>
      <c r="G40" s="56"/>
      <c r="H40" s="57"/>
      <c r="I40" s="57"/>
      <c r="J40" s="57"/>
      <c r="K40" s="57"/>
      <c r="L40" s="57"/>
      <c r="M40" s="57"/>
      <c r="N40" s="57"/>
      <c r="O40" s="57"/>
      <c r="P40" s="36" t="str">
        <f t="shared" si="7"/>
        <v/>
      </c>
      <c r="Q40" s="58" t="str">
        <f t="shared" si="8"/>
        <v/>
      </c>
      <c r="R40" s="59" t="str">
        <f t="shared" si="9"/>
        <v/>
      </c>
      <c r="S40" s="59" t="str">
        <f t="shared" si="10"/>
        <v/>
      </c>
      <c r="T40" s="54"/>
      <c r="U40" s="59" t="str">
        <f t="shared" si="11"/>
        <v/>
      </c>
      <c r="V40" s="59" t="str">
        <f t="shared" si="12"/>
        <v/>
      </c>
      <c r="W40" s="54"/>
      <c r="X40" s="54"/>
      <c r="Y40" s="60" t="str">
        <f t="shared" si="13"/>
        <v/>
      </c>
      <c r="Z40" s="34" t="str">
        <f>IF($A40="","",RANK(Y40,$Y$5:$Y$152)+COUNTIF($Y$5:Y40,Y40)-1)</f>
        <v/>
      </c>
    </row>
    <row r="41" spans="1:26" s="44" customFormat="1" x14ac:dyDescent="0.3">
      <c r="A41" s="54"/>
      <c r="B41" s="54"/>
      <c r="C41" s="54"/>
      <c r="D41" s="55"/>
      <c r="E41" s="54"/>
      <c r="F41" s="54"/>
      <c r="G41" s="56"/>
      <c r="H41" s="57"/>
      <c r="I41" s="57"/>
      <c r="J41" s="57"/>
      <c r="K41" s="57"/>
      <c r="L41" s="57"/>
      <c r="M41" s="57"/>
      <c r="N41" s="57"/>
      <c r="O41" s="57"/>
      <c r="P41" s="36" t="str">
        <f t="shared" si="7"/>
        <v/>
      </c>
      <c r="Q41" s="58" t="str">
        <f t="shared" si="8"/>
        <v/>
      </c>
      <c r="R41" s="59" t="str">
        <f t="shared" si="9"/>
        <v/>
      </c>
      <c r="S41" s="59" t="str">
        <f t="shared" si="10"/>
        <v/>
      </c>
      <c r="T41" s="54"/>
      <c r="U41" s="59" t="str">
        <f t="shared" si="11"/>
        <v/>
      </c>
      <c r="V41" s="59" t="str">
        <f t="shared" si="12"/>
        <v/>
      </c>
      <c r="W41" s="54"/>
      <c r="X41" s="54"/>
      <c r="Y41" s="60" t="str">
        <f t="shared" si="13"/>
        <v/>
      </c>
      <c r="Z41" s="34" t="str">
        <f>IF($A41="","",RANK(Y41,$Y$5:$Y$152)+COUNTIF($Y$5:Y41,Y41)-1)</f>
        <v/>
      </c>
    </row>
    <row r="42" spans="1:26" s="44" customFormat="1" x14ac:dyDescent="0.3">
      <c r="A42" s="54"/>
      <c r="B42" s="54"/>
      <c r="C42" s="54"/>
      <c r="D42" s="55"/>
      <c r="E42" s="54"/>
      <c r="F42" s="54"/>
      <c r="G42" s="56"/>
      <c r="H42" s="57"/>
      <c r="I42" s="57"/>
      <c r="J42" s="57"/>
      <c r="K42" s="57"/>
      <c r="L42" s="57"/>
      <c r="M42" s="57"/>
      <c r="N42" s="57"/>
      <c r="O42" s="57"/>
      <c r="P42" s="36" t="str">
        <f t="shared" si="7"/>
        <v/>
      </c>
      <c r="Q42" s="58" t="str">
        <f t="shared" si="8"/>
        <v/>
      </c>
      <c r="R42" s="59" t="str">
        <f t="shared" si="9"/>
        <v/>
      </c>
      <c r="S42" s="59" t="str">
        <f t="shared" si="10"/>
        <v/>
      </c>
      <c r="T42" s="54"/>
      <c r="U42" s="59" t="str">
        <f t="shared" si="11"/>
        <v/>
      </c>
      <c r="V42" s="59" t="str">
        <f t="shared" si="12"/>
        <v/>
      </c>
      <c r="W42" s="54"/>
      <c r="X42" s="54"/>
      <c r="Y42" s="60" t="str">
        <f t="shared" si="13"/>
        <v/>
      </c>
      <c r="Z42" s="34" t="str">
        <f>IF($A42="","",RANK(Y42,$Y$5:$Y$152)+COUNTIF($Y$5:Y42,Y42)-1)</f>
        <v/>
      </c>
    </row>
    <row r="43" spans="1:26" s="44" customFormat="1" x14ac:dyDescent="0.3">
      <c r="A43" s="54"/>
      <c r="B43" s="54"/>
      <c r="C43" s="54"/>
      <c r="D43" s="55"/>
      <c r="E43" s="54"/>
      <c r="F43" s="54"/>
      <c r="G43" s="56"/>
      <c r="H43" s="57"/>
      <c r="I43" s="57"/>
      <c r="J43" s="57"/>
      <c r="K43" s="57"/>
      <c r="L43" s="57"/>
      <c r="M43" s="57"/>
      <c r="N43" s="57"/>
      <c r="O43" s="57"/>
      <c r="P43" s="36" t="str">
        <f t="shared" si="7"/>
        <v/>
      </c>
      <c r="Q43" s="58" t="str">
        <f t="shared" si="8"/>
        <v/>
      </c>
      <c r="R43" s="59" t="str">
        <f t="shared" si="9"/>
        <v/>
      </c>
      <c r="S43" s="59" t="str">
        <f t="shared" si="10"/>
        <v/>
      </c>
      <c r="T43" s="54"/>
      <c r="U43" s="59" t="str">
        <f t="shared" si="11"/>
        <v/>
      </c>
      <c r="V43" s="59" t="str">
        <f t="shared" si="12"/>
        <v/>
      </c>
      <c r="W43" s="54"/>
      <c r="X43" s="54"/>
      <c r="Y43" s="60" t="str">
        <f t="shared" si="13"/>
        <v/>
      </c>
      <c r="Z43" s="34" t="str">
        <f>IF($A43="","",RANK(Y43,$Y$5:$Y$152)+COUNTIF($Y$5:Y43,Y43)-1)</f>
        <v/>
      </c>
    </row>
    <row r="44" spans="1:26" s="44" customFormat="1" x14ac:dyDescent="0.3">
      <c r="A44" s="54"/>
      <c r="B44" s="54"/>
      <c r="C44" s="54"/>
      <c r="D44" s="55"/>
      <c r="E44" s="54"/>
      <c r="F44" s="54"/>
      <c r="G44" s="56"/>
      <c r="H44" s="57"/>
      <c r="I44" s="57"/>
      <c r="J44" s="57"/>
      <c r="K44" s="57"/>
      <c r="L44" s="57"/>
      <c r="M44" s="57"/>
      <c r="N44" s="57"/>
      <c r="O44" s="57"/>
      <c r="P44" s="36" t="str">
        <f t="shared" si="7"/>
        <v/>
      </c>
      <c r="Q44" s="58" t="str">
        <f t="shared" si="8"/>
        <v/>
      </c>
      <c r="R44" s="59" t="str">
        <f t="shared" si="9"/>
        <v/>
      </c>
      <c r="S44" s="59" t="str">
        <f t="shared" si="10"/>
        <v/>
      </c>
      <c r="T44" s="54"/>
      <c r="U44" s="59" t="str">
        <f t="shared" si="11"/>
        <v/>
      </c>
      <c r="V44" s="59" t="str">
        <f t="shared" si="12"/>
        <v/>
      </c>
      <c r="W44" s="54"/>
      <c r="X44" s="54"/>
      <c r="Y44" s="60" t="str">
        <f t="shared" si="13"/>
        <v/>
      </c>
      <c r="Z44" s="34" t="str">
        <f>IF($A44="","",RANK(Y44,$Y$5:$Y$152)+COUNTIF($Y$5:Y44,Y44)-1)</f>
        <v/>
      </c>
    </row>
    <row r="45" spans="1:26" s="44" customFormat="1" x14ac:dyDescent="0.3">
      <c r="A45" s="54"/>
      <c r="B45" s="54"/>
      <c r="C45" s="54"/>
      <c r="D45" s="55"/>
      <c r="E45" s="54"/>
      <c r="F45" s="54"/>
      <c r="G45" s="56"/>
      <c r="H45" s="57"/>
      <c r="I45" s="57"/>
      <c r="J45" s="57"/>
      <c r="K45" s="57"/>
      <c r="L45" s="57"/>
      <c r="M45" s="57"/>
      <c r="N45" s="57"/>
      <c r="O45" s="57"/>
      <c r="P45" s="36" t="str">
        <f t="shared" si="7"/>
        <v/>
      </c>
      <c r="Q45" s="58" t="str">
        <f t="shared" si="8"/>
        <v/>
      </c>
      <c r="R45" s="59" t="str">
        <f t="shared" si="9"/>
        <v/>
      </c>
      <c r="S45" s="59" t="str">
        <f t="shared" si="10"/>
        <v/>
      </c>
      <c r="T45" s="54"/>
      <c r="U45" s="59" t="str">
        <f t="shared" si="11"/>
        <v/>
      </c>
      <c r="V45" s="59" t="str">
        <f t="shared" si="12"/>
        <v/>
      </c>
      <c r="W45" s="54"/>
      <c r="X45" s="54"/>
      <c r="Y45" s="60" t="str">
        <f t="shared" si="13"/>
        <v/>
      </c>
      <c r="Z45" s="34" t="str">
        <f>IF($A45="","",RANK(Y45,$Y$5:$Y$152)+COUNTIF($Y$5:Y45,Y45)-1)</f>
        <v/>
      </c>
    </row>
    <row r="46" spans="1:26" s="44" customFormat="1" x14ac:dyDescent="0.3">
      <c r="A46" s="54"/>
      <c r="B46" s="54"/>
      <c r="C46" s="54"/>
      <c r="D46" s="55"/>
      <c r="E46" s="54"/>
      <c r="F46" s="54"/>
      <c r="G46" s="56"/>
      <c r="H46" s="57"/>
      <c r="I46" s="57"/>
      <c r="J46" s="57"/>
      <c r="K46" s="57"/>
      <c r="L46" s="57"/>
      <c r="M46" s="57"/>
      <c r="N46" s="57"/>
      <c r="O46" s="57"/>
      <c r="P46" s="36" t="str">
        <f t="shared" si="7"/>
        <v/>
      </c>
      <c r="Q46" s="58" t="str">
        <f t="shared" si="8"/>
        <v/>
      </c>
      <c r="R46" s="59" t="str">
        <f t="shared" si="9"/>
        <v/>
      </c>
      <c r="S46" s="59" t="str">
        <f t="shared" si="10"/>
        <v/>
      </c>
      <c r="T46" s="54"/>
      <c r="U46" s="59" t="str">
        <f t="shared" si="11"/>
        <v/>
      </c>
      <c r="V46" s="59" t="str">
        <f t="shared" si="12"/>
        <v/>
      </c>
      <c r="W46" s="54"/>
      <c r="X46" s="54"/>
      <c r="Y46" s="60" t="str">
        <f t="shared" si="13"/>
        <v/>
      </c>
      <c r="Z46" s="34" t="str">
        <f>IF($A46="","",RANK(Y46,$Y$5:$Y$152)+COUNTIF($Y$5:Y46,Y46)-1)</f>
        <v/>
      </c>
    </row>
    <row r="47" spans="1:26" s="44" customFormat="1" x14ac:dyDescent="0.3">
      <c r="A47" s="54"/>
      <c r="B47" s="54"/>
      <c r="C47" s="54"/>
      <c r="D47" s="55"/>
      <c r="E47" s="54"/>
      <c r="F47" s="54"/>
      <c r="G47" s="56"/>
      <c r="H47" s="57"/>
      <c r="I47" s="57"/>
      <c r="J47" s="57"/>
      <c r="K47" s="57"/>
      <c r="L47" s="57"/>
      <c r="M47" s="57"/>
      <c r="N47" s="57"/>
      <c r="O47" s="57"/>
      <c r="P47" s="36" t="str">
        <f t="shared" si="7"/>
        <v/>
      </c>
      <c r="Q47" s="58" t="str">
        <f t="shared" si="8"/>
        <v/>
      </c>
      <c r="R47" s="59" t="str">
        <f t="shared" si="9"/>
        <v/>
      </c>
      <c r="S47" s="59" t="str">
        <f t="shared" si="10"/>
        <v/>
      </c>
      <c r="T47" s="54"/>
      <c r="U47" s="59" t="str">
        <f t="shared" si="11"/>
        <v/>
      </c>
      <c r="V47" s="59" t="str">
        <f t="shared" si="12"/>
        <v/>
      </c>
      <c r="W47" s="54"/>
      <c r="X47" s="54"/>
      <c r="Y47" s="60" t="str">
        <f t="shared" si="13"/>
        <v/>
      </c>
      <c r="Z47" s="34" t="str">
        <f>IF($A47="","",RANK(Y47,$Y$5:$Y$152)+COUNTIF($Y$5:Y47,Y47)-1)</f>
        <v/>
      </c>
    </row>
    <row r="48" spans="1:26" s="44" customFormat="1" x14ac:dyDescent="0.3">
      <c r="A48" s="54"/>
      <c r="B48" s="54"/>
      <c r="C48" s="54"/>
      <c r="D48" s="55"/>
      <c r="E48" s="54"/>
      <c r="F48" s="54"/>
      <c r="G48" s="56"/>
      <c r="H48" s="57"/>
      <c r="I48" s="57"/>
      <c r="J48" s="57"/>
      <c r="K48" s="57"/>
      <c r="L48" s="57"/>
      <c r="M48" s="57"/>
      <c r="N48" s="57"/>
      <c r="O48" s="57"/>
      <c r="P48" s="36" t="str">
        <f t="shared" si="7"/>
        <v/>
      </c>
      <c r="Q48" s="58" t="str">
        <f t="shared" si="8"/>
        <v/>
      </c>
      <c r="R48" s="59" t="str">
        <f t="shared" si="9"/>
        <v/>
      </c>
      <c r="S48" s="59" t="str">
        <f t="shared" si="10"/>
        <v/>
      </c>
      <c r="T48" s="54"/>
      <c r="U48" s="59" t="str">
        <f t="shared" si="11"/>
        <v/>
      </c>
      <c r="V48" s="59" t="str">
        <f t="shared" si="12"/>
        <v/>
      </c>
      <c r="W48" s="54"/>
      <c r="X48" s="54"/>
      <c r="Y48" s="60" t="str">
        <f t="shared" si="13"/>
        <v/>
      </c>
      <c r="Z48" s="34" t="str">
        <f>IF($A48="","",RANK(Y48,$Y$5:$Y$152)+COUNTIF($Y$5:Y48,Y48)-1)</f>
        <v/>
      </c>
    </row>
    <row r="49" spans="1:26" s="44" customFormat="1" x14ac:dyDescent="0.3">
      <c r="A49" s="54"/>
      <c r="B49" s="54"/>
      <c r="C49" s="54"/>
      <c r="D49" s="55"/>
      <c r="E49" s="54"/>
      <c r="F49" s="54"/>
      <c r="G49" s="56"/>
      <c r="H49" s="57"/>
      <c r="I49" s="57"/>
      <c r="J49" s="57"/>
      <c r="K49" s="57"/>
      <c r="L49" s="57"/>
      <c r="M49" s="57"/>
      <c r="N49" s="57"/>
      <c r="O49" s="57"/>
      <c r="P49" s="36" t="str">
        <f t="shared" si="7"/>
        <v/>
      </c>
      <c r="Q49" s="58" t="str">
        <f t="shared" si="8"/>
        <v/>
      </c>
      <c r="R49" s="59" t="str">
        <f t="shared" si="9"/>
        <v/>
      </c>
      <c r="S49" s="59" t="str">
        <f t="shared" si="10"/>
        <v/>
      </c>
      <c r="T49" s="54"/>
      <c r="U49" s="59" t="str">
        <f t="shared" si="11"/>
        <v/>
      </c>
      <c r="V49" s="59" t="str">
        <f t="shared" si="12"/>
        <v/>
      </c>
      <c r="W49" s="54"/>
      <c r="X49" s="54"/>
      <c r="Y49" s="60" t="str">
        <f t="shared" si="13"/>
        <v/>
      </c>
      <c r="Z49" s="34" t="str">
        <f>IF($A49="","",RANK(Y49,$Y$5:$Y$152)+COUNTIF($Y$5:Y49,Y49)-1)</f>
        <v/>
      </c>
    </row>
    <row r="50" spans="1:26" s="44" customFormat="1" x14ac:dyDescent="0.3">
      <c r="A50" s="54"/>
      <c r="B50" s="54"/>
      <c r="C50" s="54"/>
      <c r="D50" s="55"/>
      <c r="E50" s="54"/>
      <c r="F50" s="54"/>
      <c r="G50" s="56"/>
      <c r="H50" s="57"/>
      <c r="I50" s="57"/>
      <c r="J50" s="57"/>
      <c r="K50" s="57"/>
      <c r="L50" s="57"/>
      <c r="M50" s="57"/>
      <c r="N50" s="57"/>
      <c r="O50" s="57"/>
      <c r="P50" s="36" t="str">
        <f t="shared" si="7"/>
        <v/>
      </c>
      <c r="Q50" s="58" t="str">
        <f t="shared" si="8"/>
        <v/>
      </c>
      <c r="R50" s="59" t="str">
        <f t="shared" si="9"/>
        <v/>
      </c>
      <c r="S50" s="59" t="str">
        <f t="shared" si="10"/>
        <v/>
      </c>
      <c r="T50" s="54"/>
      <c r="U50" s="59" t="str">
        <f t="shared" si="11"/>
        <v/>
      </c>
      <c r="V50" s="59" t="str">
        <f t="shared" si="12"/>
        <v/>
      </c>
      <c r="W50" s="54"/>
      <c r="X50" s="54"/>
      <c r="Y50" s="60" t="str">
        <f t="shared" si="13"/>
        <v/>
      </c>
      <c r="Z50" s="34" t="str">
        <f>IF($A50="","",RANK(Y50,$Y$5:$Y$152)+COUNTIF($Y$5:Y50,Y50)-1)</f>
        <v/>
      </c>
    </row>
    <row r="51" spans="1:26" s="44" customFormat="1" x14ac:dyDescent="0.3">
      <c r="A51" s="54"/>
      <c r="B51" s="54"/>
      <c r="C51" s="54"/>
      <c r="D51" s="55"/>
      <c r="E51" s="54"/>
      <c r="F51" s="54"/>
      <c r="G51" s="56"/>
      <c r="H51" s="57"/>
      <c r="I51" s="57"/>
      <c r="J51" s="57"/>
      <c r="K51" s="57"/>
      <c r="L51" s="57"/>
      <c r="M51" s="57"/>
      <c r="N51" s="57"/>
      <c r="O51" s="57"/>
      <c r="P51" s="36" t="str">
        <f t="shared" si="7"/>
        <v/>
      </c>
      <c r="Q51" s="58" t="str">
        <f t="shared" si="8"/>
        <v/>
      </c>
      <c r="R51" s="59" t="str">
        <f t="shared" si="9"/>
        <v/>
      </c>
      <c r="S51" s="59" t="str">
        <f t="shared" si="10"/>
        <v/>
      </c>
      <c r="T51" s="54"/>
      <c r="U51" s="59" t="str">
        <f t="shared" si="11"/>
        <v/>
      </c>
      <c r="V51" s="59" t="str">
        <f t="shared" si="12"/>
        <v/>
      </c>
      <c r="W51" s="54"/>
      <c r="X51" s="54"/>
      <c r="Y51" s="60" t="str">
        <f t="shared" si="13"/>
        <v/>
      </c>
      <c r="Z51" s="34" t="str">
        <f>IF($A51="","",RANK(Y51,$Y$5:$Y$152)+COUNTIF($Y$5:Y51,Y51)-1)</f>
        <v/>
      </c>
    </row>
    <row r="52" spans="1:26" s="44" customFormat="1" x14ac:dyDescent="0.3">
      <c r="A52" s="54"/>
      <c r="B52" s="54"/>
      <c r="C52" s="54"/>
      <c r="D52" s="55"/>
      <c r="E52" s="54"/>
      <c r="F52" s="54"/>
      <c r="G52" s="56"/>
      <c r="H52" s="57"/>
      <c r="I52" s="57"/>
      <c r="J52" s="57"/>
      <c r="K52" s="57"/>
      <c r="L52" s="57"/>
      <c r="M52" s="57"/>
      <c r="N52" s="57"/>
      <c r="O52" s="57"/>
      <c r="P52" s="36" t="str">
        <f t="shared" si="7"/>
        <v/>
      </c>
      <c r="Q52" s="58" t="str">
        <f t="shared" si="8"/>
        <v/>
      </c>
      <c r="R52" s="59" t="str">
        <f t="shared" si="9"/>
        <v/>
      </c>
      <c r="S52" s="59" t="str">
        <f t="shared" si="10"/>
        <v/>
      </c>
      <c r="T52" s="54"/>
      <c r="U52" s="59" t="str">
        <f t="shared" si="11"/>
        <v/>
      </c>
      <c r="V52" s="59" t="str">
        <f t="shared" si="12"/>
        <v/>
      </c>
      <c r="W52" s="54"/>
      <c r="X52" s="54"/>
      <c r="Y52" s="60" t="str">
        <f t="shared" si="13"/>
        <v/>
      </c>
      <c r="Z52" s="34" t="str">
        <f>IF($A52="","",RANK(Y52,$Y$5:$Y$152)+COUNTIF($Y$5:Y52,Y52)-1)</f>
        <v/>
      </c>
    </row>
    <row r="53" spans="1:26" s="44" customFormat="1" x14ac:dyDescent="0.3">
      <c r="A53" s="54"/>
      <c r="B53" s="54"/>
      <c r="C53" s="54"/>
      <c r="D53" s="55"/>
      <c r="E53" s="54"/>
      <c r="F53" s="54"/>
      <c r="G53" s="56"/>
      <c r="H53" s="57"/>
      <c r="I53" s="57"/>
      <c r="J53" s="57"/>
      <c r="K53" s="57"/>
      <c r="L53" s="57"/>
      <c r="M53" s="57"/>
      <c r="N53" s="57"/>
      <c r="O53" s="57"/>
      <c r="P53" s="36" t="str">
        <f t="shared" si="7"/>
        <v/>
      </c>
      <c r="Q53" s="58" t="str">
        <f t="shared" si="8"/>
        <v/>
      </c>
      <c r="R53" s="59" t="str">
        <f t="shared" si="9"/>
        <v/>
      </c>
      <c r="S53" s="59" t="str">
        <f t="shared" si="10"/>
        <v/>
      </c>
      <c r="T53" s="54"/>
      <c r="U53" s="59" t="str">
        <f t="shared" si="11"/>
        <v/>
      </c>
      <c r="V53" s="59" t="str">
        <f t="shared" si="12"/>
        <v/>
      </c>
      <c r="W53" s="54"/>
      <c r="X53" s="54"/>
      <c r="Y53" s="60" t="str">
        <f t="shared" si="13"/>
        <v/>
      </c>
      <c r="Z53" s="34" t="str">
        <f>IF($A53="","",RANK(Y53,$Y$5:$Y$152)+COUNTIF($Y$5:Y53,Y53)-1)</f>
        <v/>
      </c>
    </row>
    <row r="54" spans="1:26" s="44" customFormat="1" x14ac:dyDescent="0.3">
      <c r="A54" s="54"/>
      <c r="B54" s="54"/>
      <c r="C54" s="54"/>
      <c r="D54" s="55"/>
      <c r="E54" s="54"/>
      <c r="F54" s="54"/>
      <c r="G54" s="56"/>
      <c r="H54" s="57"/>
      <c r="I54" s="57"/>
      <c r="J54" s="57"/>
      <c r="K54" s="57"/>
      <c r="L54" s="57"/>
      <c r="M54" s="57"/>
      <c r="N54" s="57"/>
      <c r="O54" s="57"/>
      <c r="P54" s="36" t="str">
        <f t="shared" si="7"/>
        <v/>
      </c>
      <c r="Q54" s="58" t="str">
        <f t="shared" si="8"/>
        <v/>
      </c>
      <c r="R54" s="59" t="str">
        <f t="shared" si="9"/>
        <v/>
      </c>
      <c r="S54" s="59" t="str">
        <f t="shared" si="10"/>
        <v/>
      </c>
      <c r="T54" s="54"/>
      <c r="U54" s="59" t="str">
        <f t="shared" si="11"/>
        <v/>
      </c>
      <c r="V54" s="59" t="str">
        <f t="shared" si="12"/>
        <v/>
      </c>
      <c r="W54" s="54"/>
      <c r="X54" s="54"/>
      <c r="Y54" s="60" t="str">
        <f t="shared" si="13"/>
        <v/>
      </c>
      <c r="Z54" s="34" t="str">
        <f>IF($A54="","",RANK(Y54,$Y$5:$Y$152)+COUNTIF($Y$5:Y54,Y54)-1)</f>
        <v/>
      </c>
    </row>
    <row r="55" spans="1:26" s="44" customFormat="1" x14ac:dyDescent="0.3">
      <c r="A55" s="54"/>
      <c r="B55" s="54"/>
      <c r="C55" s="54"/>
      <c r="D55" s="55"/>
      <c r="E55" s="54"/>
      <c r="F55" s="54"/>
      <c r="G55" s="56"/>
      <c r="H55" s="57"/>
      <c r="I55" s="57"/>
      <c r="J55" s="57"/>
      <c r="K55" s="57"/>
      <c r="L55" s="57"/>
      <c r="M55" s="57"/>
      <c r="N55" s="57"/>
      <c r="O55" s="57"/>
      <c r="P55" s="36" t="str">
        <f t="shared" si="7"/>
        <v/>
      </c>
      <c r="Q55" s="58" t="str">
        <f t="shared" si="8"/>
        <v/>
      </c>
      <c r="R55" s="59" t="str">
        <f t="shared" si="9"/>
        <v/>
      </c>
      <c r="S55" s="59" t="str">
        <f t="shared" si="10"/>
        <v/>
      </c>
      <c r="T55" s="54"/>
      <c r="U55" s="59" t="str">
        <f t="shared" si="11"/>
        <v/>
      </c>
      <c r="V55" s="59" t="str">
        <f t="shared" si="12"/>
        <v/>
      </c>
      <c r="W55" s="54"/>
      <c r="X55" s="54"/>
      <c r="Y55" s="60" t="str">
        <f t="shared" si="13"/>
        <v/>
      </c>
      <c r="Z55" s="34" t="str">
        <f>IF($A55="","",RANK(Y55,$Y$5:$Y$152)+COUNTIF($Y$5:Y55,Y55)-1)</f>
        <v/>
      </c>
    </row>
    <row r="56" spans="1:26" s="44" customFormat="1" x14ac:dyDescent="0.3">
      <c r="A56" s="54"/>
      <c r="B56" s="54"/>
      <c r="C56" s="54"/>
      <c r="D56" s="55"/>
      <c r="E56" s="54"/>
      <c r="F56" s="54"/>
      <c r="G56" s="56"/>
      <c r="H56" s="57"/>
      <c r="I56" s="57"/>
      <c r="J56" s="57"/>
      <c r="K56" s="57"/>
      <c r="L56" s="57"/>
      <c r="M56" s="57"/>
      <c r="N56" s="57"/>
      <c r="O56" s="57"/>
      <c r="P56" s="36" t="str">
        <f t="shared" si="7"/>
        <v/>
      </c>
      <c r="Q56" s="58" t="str">
        <f t="shared" si="8"/>
        <v/>
      </c>
      <c r="R56" s="59" t="str">
        <f t="shared" si="9"/>
        <v/>
      </c>
      <c r="S56" s="59" t="str">
        <f t="shared" si="10"/>
        <v/>
      </c>
      <c r="T56" s="54"/>
      <c r="U56" s="59" t="str">
        <f t="shared" si="11"/>
        <v/>
      </c>
      <c r="V56" s="59" t="str">
        <f t="shared" si="12"/>
        <v/>
      </c>
      <c r="W56" s="54"/>
      <c r="X56" s="54"/>
      <c r="Y56" s="60" t="str">
        <f t="shared" si="13"/>
        <v/>
      </c>
      <c r="Z56" s="34" t="str">
        <f>IF($A56="","",RANK(Y56,$Y$5:$Y$152)+COUNTIF($Y$5:Y56,Y56)-1)</f>
        <v/>
      </c>
    </row>
    <row r="57" spans="1:26" s="44" customFormat="1" x14ac:dyDescent="0.3">
      <c r="A57" s="54"/>
      <c r="B57" s="54"/>
      <c r="C57" s="54"/>
      <c r="D57" s="55"/>
      <c r="E57" s="54"/>
      <c r="F57" s="54"/>
      <c r="G57" s="56"/>
      <c r="H57" s="57"/>
      <c r="I57" s="57"/>
      <c r="J57" s="57"/>
      <c r="K57" s="57"/>
      <c r="L57" s="57"/>
      <c r="M57" s="57"/>
      <c r="N57" s="57"/>
      <c r="O57" s="57"/>
      <c r="P57" s="36" t="str">
        <f t="shared" si="7"/>
        <v/>
      </c>
      <c r="Q57" s="58" t="str">
        <f t="shared" si="8"/>
        <v/>
      </c>
      <c r="R57" s="59" t="str">
        <f t="shared" si="9"/>
        <v/>
      </c>
      <c r="S57" s="59" t="str">
        <f t="shared" si="10"/>
        <v/>
      </c>
      <c r="T57" s="54"/>
      <c r="U57" s="59" t="str">
        <f t="shared" si="11"/>
        <v/>
      </c>
      <c r="V57" s="59" t="str">
        <f t="shared" si="12"/>
        <v/>
      </c>
      <c r="W57" s="54"/>
      <c r="X57" s="54"/>
      <c r="Y57" s="60" t="str">
        <f t="shared" si="13"/>
        <v/>
      </c>
      <c r="Z57" s="34" t="str">
        <f>IF($A57="","",RANK(Y57,$Y$5:$Y$152)+COUNTIF($Y$5:Y57,Y57)-1)</f>
        <v/>
      </c>
    </row>
    <row r="58" spans="1:26" s="44" customFormat="1" x14ac:dyDescent="0.3">
      <c r="A58" s="54"/>
      <c r="B58" s="54"/>
      <c r="C58" s="54"/>
      <c r="D58" s="55"/>
      <c r="E58" s="54"/>
      <c r="F58" s="54"/>
      <c r="G58" s="56"/>
      <c r="H58" s="57"/>
      <c r="I58" s="57"/>
      <c r="J58" s="57"/>
      <c r="K58" s="57"/>
      <c r="L58" s="57"/>
      <c r="M58" s="57"/>
      <c r="N58" s="57"/>
      <c r="O58" s="57"/>
      <c r="P58" s="36" t="str">
        <f t="shared" si="7"/>
        <v/>
      </c>
      <c r="Q58" s="58" t="str">
        <f t="shared" si="8"/>
        <v/>
      </c>
      <c r="R58" s="59" t="str">
        <f t="shared" si="9"/>
        <v/>
      </c>
      <c r="S58" s="59" t="str">
        <f t="shared" si="10"/>
        <v/>
      </c>
      <c r="T58" s="54"/>
      <c r="U58" s="59" t="str">
        <f t="shared" si="11"/>
        <v/>
      </c>
      <c r="V58" s="59" t="str">
        <f t="shared" si="12"/>
        <v/>
      </c>
      <c r="W58" s="54"/>
      <c r="X58" s="54"/>
      <c r="Y58" s="60" t="str">
        <f t="shared" si="13"/>
        <v/>
      </c>
      <c r="Z58" s="34" t="str">
        <f>IF($A58="","",RANK(Y58,$Y$5:$Y$152)+COUNTIF($Y$5:Y58,Y58)-1)</f>
        <v/>
      </c>
    </row>
    <row r="59" spans="1:26" s="44" customFormat="1" x14ac:dyDescent="0.3">
      <c r="A59" s="54"/>
      <c r="B59" s="54"/>
      <c r="C59" s="54"/>
      <c r="D59" s="55"/>
      <c r="E59" s="54"/>
      <c r="F59" s="54"/>
      <c r="G59" s="56"/>
      <c r="H59" s="57"/>
      <c r="I59" s="57"/>
      <c r="J59" s="57"/>
      <c r="K59" s="57"/>
      <c r="L59" s="57"/>
      <c r="M59" s="57"/>
      <c r="N59" s="57"/>
      <c r="O59" s="57"/>
      <c r="P59" s="36" t="str">
        <f t="shared" si="7"/>
        <v/>
      </c>
      <c r="Q59" s="58" t="str">
        <f t="shared" si="8"/>
        <v/>
      </c>
      <c r="R59" s="59" t="str">
        <f t="shared" si="9"/>
        <v/>
      </c>
      <c r="S59" s="59" t="str">
        <f t="shared" si="10"/>
        <v/>
      </c>
      <c r="T59" s="54"/>
      <c r="U59" s="59" t="str">
        <f t="shared" si="11"/>
        <v/>
      </c>
      <c r="V59" s="59" t="str">
        <f t="shared" si="12"/>
        <v/>
      </c>
      <c r="W59" s="54"/>
      <c r="X59" s="54"/>
      <c r="Y59" s="60" t="str">
        <f t="shared" si="13"/>
        <v/>
      </c>
      <c r="Z59" s="34" t="str">
        <f>IF($A59="","",RANK(Y59,$Y$5:$Y$152)+COUNTIF($Y$5:Y59,Y59)-1)</f>
        <v/>
      </c>
    </row>
    <row r="60" spans="1:26" s="44" customFormat="1" x14ac:dyDescent="0.3">
      <c r="A60" s="54"/>
      <c r="B60" s="54"/>
      <c r="C60" s="54"/>
      <c r="D60" s="55"/>
      <c r="E60" s="54"/>
      <c r="F60" s="54"/>
      <c r="G60" s="56"/>
      <c r="H60" s="57"/>
      <c r="I60" s="57"/>
      <c r="J60" s="57"/>
      <c r="K60" s="57"/>
      <c r="L60" s="57"/>
      <c r="M60" s="57"/>
      <c r="N60" s="57"/>
      <c r="O60" s="57"/>
      <c r="P60" s="36" t="str">
        <f t="shared" si="7"/>
        <v/>
      </c>
      <c r="Q60" s="58" t="str">
        <f t="shared" si="8"/>
        <v/>
      </c>
      <c r="R60" s="59" t="str">
        <f t="shared" si="9"/>
        <v/>
      </c>
      <c r="S60" s="59" t="str">
        <f t="shared" si="10"/>
        <v/>
      </c>
      <c r="T60" s="54"/>
      <c r="U60" s="59" t="str">
        <f t="shared" si="11"/>
        <v/>
      </c>
      <c r="V60" s="59" t="str">
        <f t="shared" si="12"/>
        <v/>
      </c>
      <c r="W60" s="54"/>
      <c r="X60" s="54"/>
      <c r="Y60" s="60" t="str">
        <f t="shared" si="13"/>
        <v/>
      </c>
      <c r="Z60" s="34" t="str">
        <f>IF($A60="","",RANK(Y60,$Y$5:$Y$152)+COUNTIF($Y$5:Y60,Y60)-1)</f>
        <v/>
      </c>
    </row>
    <row r="61" spans="1:26" s="44" customFormat="1" x14ac:dyDescent="0.3">
      <c r="A61" s="54"/>
      <c r="B61" s="54"/>
      <c r="C61" s="54"/>
      <c r="D61" s="55"/>
      <c r="E61" s="54"/>
      <c r="F61" s="54"/>
      <c r="G61" s="56"/>
      <c r="H61" s="57"/>
      <c r="I61" s="57"/>
      <c r="J61" s="57"/>
      <c r="K61" s="57"/>
      <c r="L61" s="57"/>
      <c r="M61" s="57"/>
      <c r="N61" s="57"/>
      <c r="O61" s="57"/>
      <c r="P61" s="36" t="str">
        <f t="shared" si="7"/>
        <v/>
      </c>
      <c r="Q61" s="58" t="str">
        <f t="shared" si="8"/>
        <v/>
      </c>
      <c r="R61" s="59" t="str">
        <f t="shared" si="9"/>
        <v/>
      </c>
      <c r="S61" s="59" t="str">
        <f t="shared" si="10"/>
        <v/>
      </c>
      <c r="T61" s="54"/>
      <c r="U61" s="59" t="str">
        <f t="shared" si="11"/>
        <v/>
      </c>
      <c r="V61" s="59" t="str">
        <f t="shared" si="12"/>
        <v/>
      </c>
      <c r="W61" s="54"/>
      <c r="X61" s="54"/>
      <c r="Y61" s="60" t="str">
        <f t="shared" si="13"/>
        <v/>
      </c>
      <c r="Z61" s="34" t="str">
        <f>IF($A61="","",RANK(Y61,$Y$5:$Y$152)+COUNTIF($Y$5:Y61,Y61)-1)</f>
        <v/>
      </c>
    </row>
    <row r="62" spans="1:26" s="44" customFormat="1" x14ac:dyDescent="0.3">
      <c r="A62" s="54"/>
      <c r="B62" s="54"/>
      <c r="C62" s="54"/>
      <c r="D62" s="55"/>
      <c r="E62" s="54"/>
      <c r="F62" s="54"/>
      <c r="G62" s="56"/>
      <c r="H62" s="57"/>
      <c r="I62" s="57"/>
      <c r="J62" s="57"/>
      <c r="K62" s="57"/>
      <c r="L62" s="57"/>
      <c r="M62" s="57"/>
      <c r="N62" s="57"/>
      <c r="O62" s="57"/>
      <c r="P62" s="36" t="str">
        <f t="shared" si="7"/>
        <v/>
      </c>
      <c r="Q62" s="58" t="str">
        <f t="shared" si="8"/>
        <v/>
      </c>
      <c r="R62" s="59" t="str">
        <f t="shared" si="9"/>
        <v/>
      </c>
      <c r="S62" s="59" t="str">
        <f t="shared" si="10"/>
        <v/>
      </c>
      <c r="T62" s="54"/>
      <c r="U62" s="59" t="str">
        <f t="shared" si="11"/>
        <v/>
      </c>
      <c r="V62" s="59" t="str">
        <f t="shared" si="12"/>
        <v/>
      </c>
      <c r="W62" s="54"/>
      <c r="X62" s="54"/>
      <c r="Y62" s="60" t="str">
        <f t="shared" si="13"/>
        <v/>
      </c>
      <c r="Z62" s="34" t="str">
        <f>IF($A62="","",RANK(Y62,$Y$5:$Y$152)+COUNTIF($Y$5:Y62,Y62)-1)</f>
        <v/>
      </c>
    </row>
    <row r="63" spans="1:26" s="44" customFormat="1" x14ac:dyDescent="0.3">
      <c r="A63" s="54"/>
      <c r="B63" s="54"/>
      <c r="C63" s="54"/>
      <c r="D63" s="55"/>
      <c r="E63" s="54"/>
      <c r="F63" s="54"/>
      <c r="G63" s="56"/>
      <c r="H63" s="57"/>
      <c r="I63" s="57"/>
      <c r="J63" s="57"/>
      <c r="K63" s="57"/>
      <c r="L63" s="57"/>
      <c r="M63" s="57"/>
      <c r="N63" s="57"/>
      <c r="O63" s="57"/>
      <c r="P63" s="36" t="str">
        <f t="shared" si="7"/>
        <v/>
      </c>
      <c r="Q63" s="58" t="str">
        <f t="shared" si="8"/>
        <v/>
      </c>
      <c r="R63" s="59" t="str">
        <f t="shared" si="9"/>
        <v/>
      </c>
      <c r="S63" s="59" t="str">
        <f t="shared" si="10"/>
        <v/>
      </c>
      <c r="T63" s="54"/>
      <c r="U63" s="59" t="str">
        <f t="shared" si="11"/>
        <v/>
      </c>
      <c r="V63" s="59" t="str">
        <f t="shared" si="12"/>
        <v/>
      </c>
      <c r="W63" s="54"/>
      <c r="X63" s="54"/>
      <c r="Y63" s="60" t="str">
        <f t="shared" si="13"/>
        <v/>
      </c>
      <c r="Z63" s="34" t="str">
        <f>IF($A63="","",RANK(Y63,$Y$5:$Y$152)+COUNTIF($Y$5:Y63,Y63)-1)</f>
        <v/>
      </c>
    </row>
    <row r="64" spans="1:26" s="44" customFormat="1" x14ac:dyDescent="0.3">
      <c r="A64" s="54"/>
      <c r="B64" s="54"/>
      <c r="C64" s="54"/>
      <c r="D64" s="55"/>
      <c r="E64" s="54"/>
      <c r="F64" s="54"/>
      <c r="G64" s="56"/>
      <c r="H64" s="57"/>
      <c r="I64" s="57"/>
      <c r="J64" s="57"/>
      <c r="K64" s="57"/>
      <c r="L64" s="57"/>
      <c r="M64" s="57"/>
      <c r="N64" s="57"/>
      <c r="O64" s="57"/>
      <c r="P64" s="36" t="str">
        <f t="shared" si="7"/>
        <v/>
      </c>
      <c r="Q64" s="58" t="str">
        <f t="shared" si="8"/>
        <v/>
      </c>
      <c r="R64" s="59" t="str">
        <f t="shared" si="9"/>
        <v/>
      </c>
      <c r="S64" s="59" t="str">
        <f t="shared" si="10"/>
        <v/>
      </c>
      <c r="T64" s="54"/>
      <c r="U64" s="59" t="str">
        <f t="shared" si="11"/>
        <v/>
      </c>
      <c r="V64" s="59" t="str">
        <f t="shared" si="12"/>
        <v/>
      </c>
      <c r="W64" s="54"/>
      <c r="X64" s="54"/>
      <c r="Y64" s="60" t="str">
        <f t="shared" si="13"/>
        <v/>
      </c>
      <c r="Z64" s="34" t="str">
        <f>IF($A64="","",RANK(Y64,$Y$5:$Y$152)+COUNTIF($Y$5:Y64,Y64)-1)</f>
        <v/>
      </c>
    </row>
    <row r="65" spans="1:26" s="44" customFormat="1" x14ac:dyDescent="0.3">
      <c r="A65" s="54"/>
      <c r="B65" s="54"/>
      <c r="C65" s="54"/>
      <c r="D65" s="55"/>
      <c r="E65" s="54"/>
      <c r="F65" s="54"/>
      <c r="G65" s="56"/>
      <c r="H65" s="57"/>
      <c r="I65" s="57"/>
      <c r="J65" s="57"/>
      <c r="K65" s="57"/>
      <c r="L65" s="57"/>
      <c r="M65" s="57"/>
      <c r="N65" s="57"/>
      <c r="O65" s="57"/>
      <c r="P65" s="36" t="str">
        <f t="shared" si="7"/>
        <v/>
      </c>
      <c r="Q65" s="58" t="str">
        <f t="shared" si="8"/>
        <v/>
      </c>
      <c r="R65" s="59" t="str">
        <f t="shared" si="9"/>
        <v/>
      </c>
      <c r="S65" s="59" t="str">
        <f t="shared" si="10"/>
        <v/>
      </c>
      <c r="T65" s="54"/>
      <c r="U65" s="59" t="str">
        <f t="shared" si="11"/>
        <v/>
      </c>
      <c r="V65" s="59" t="str">
        <f t="shared" si="12"/>
        <v/>
      </c>
      <c r="W65" s="54"/>
      <c r="X65" s="54"/>
      <c r="Y65" s="60" t="str">
        <f t="shared" si="13"/>
        <v/>
      </c>
      <c r="Z65" s="34" t="str">
        <f>IF($A65="","",RANK(Y65,$Y$5:$Y$152)+COUNTIF($Y$5:Y65,Y65)-1)</f>
        <v/>
      </c>
    </row>
    <row r="66" spans="1:26" s="44" customFormat="1" x14ac:dyDescent="0.3">
      <c r="A66" s="54"/>
      <c r="B66" s="54"/>
      <c r="C66" s="54"/>
      <c r="D66" s="55"/>
      <c r="E66" s="54"/>
      <c r="F66" s="54"/>
      <c r="G66" s="56"/>
      <c r="H66" s="57"/>
      <c r="I66" s="57"/>
      <c r="J66" s="57"/>
      <c r="K66" s="57"/>
      <c r="L66" s="57"/>
      <c r="M66" s="57"/>
      <c r="N66" s="57"/>
      <c r="O66" s="57"/>
      <c r="P66" s="36" t="str">
        <f t="shared" si="7"/>
        <v/>
      </c>
      <c r="Q66" s="58" t="str">
        <f t="shared" si="8"/>
        <v/>
      </c>
      <c r="R66" s="59" t="str">
        <f t="shared" si="9"/>
        <v/>
      </c>
      <c r="S66" s="59" t="str">
        <f t="shared" si="10"/>
        <v/>
      </c>
      <c r="T66" s="54"/>
      <c r="U66" s="59" t="str">
        <f t="shared" si="11"/>
        <v/>
      </c>
      <c r="V66" s="59" t="str">
        <f t="shared" si="12"/>
        <v/>
      </c>
      <c r="W66" s="54"/>
      <c r="X66" s="54"/>
      <c r="Y66" s="60" t="str">
        <f t="shared" si="13"/>
        <v/>
      </c>
      <c r="Z66" s="34" t="str">
        <f>IF($A66="","",RANK(Y66,$Y$5:$Y$152)+COUNTIF($Y$5:Y66,Y66)-1)</f>
        <v/>
      </c>
    </row>
    <row r="67" spans="1:26" s="44" customFormat="1" x14ac:dyDescent="0.3">
      <c r="A67" s="54"/>
      <c r="B67" s="54"/>
      <c r="C67" s="54"/>
      <c r="D67" s="55"/>
      <c r="E67" s="54"/>
      <c r="F67" s="54"/>
      <c r="G67" s="56"/>
      <c r="H67" s="57"/>
      <c r="I67" s="57"/>
      <c r="J67" s="57"/>
      <c r="K67" s="57"/>
      <c r="L67" s="57"/>
      <c r="M67" s="57"/>
      <c r="N67" s="57"/>
      <c r="O67" s="57"/>
      <c r="P67" s="36" t="str">
        <f t="shared" ref="P67:P98" si="14">IF($A67="","",SUM(H67:O67))</f>
        <v/>
      </c>
      <c r="Q67" s="58" t="str">
        <f t="shared" ref="Q67:Q98" si="15">IF($A67="","",P67/100)</f>
        <v/>
      </c>
      <c r="R67" s="59" t="str">
        <f t="shared" ref="R67:R98" si="16">IF($A67="","",INDEX(ParamRangoNivel,MATCH(P67,ParamRangoDesde,1)))</f>
        <v/>
      </c>
      <c r="S67" s="59" t="str">
        <f t="shared" ref="S67:S98" si="17">IF($A67="","",IF(T67="Sí","PRIORIDAD 1",INDEX(ParamPrioNombre,MATCH(P67,ParamPrioDesde,1))))</f>
        <v/>
      </c>
      <c r="T67" s="54"/>
      <c r="U67" s="59" t="str">
        <f t="shared" ref="U67:U98" si="18">IF($A67="","",IF(K67="","",IF(K67/20*100&gt;=60,"ALTA",IF(K67/20*100&gt;=30,"MEDIA","BAJA"))))</f>
        <v/>
      </c>
      <c r="V67" s="59" t="str">
        <f t="shared" ref="V67:V98" si="19">IF($A67="","",INDEX(ParamRangoSemaforo,MATCH(P67,ParamRangoDesde,1)))</f>
        <v/>
      </c>
      <c r="W67" s="54"/>
      <c r="X67" s="54"/>
      <c r="Y67" s="60" t="str">
        <f t="shared" ref="Y67:Y98" si="20">IF($A67="","",(IF(S67="PRIORIDAD 1",3,IF(S67="PRIORIDAD 2",2,1)))*100000+IF(T67="Sí",1000,0)+P67)</f>
        <v/>
      </c>
      <c r="Z67" s="34" t="str">
        <f>IF($A67="","",RANK(Y67,$Y$5:$Y$152)+COUNTIF($Y$5:Y67,Y67)-1)</f>
        <v/>
      </c>
    </row>
    <row r="68" spans="1:26" s="44" customFormat="1" x14ac:dyDescent="0.3">
      <c r="A68" s="54"/>
      <c r="B68" s="54"/>
      <c r="C68" s="54"/>
      <c r="D68" s="55"/>
      <c r="E68" s="54"/>
      <c r="F68" s="54"/>
      <c r="G68" s="56"/>
      <c r="H68" s="57"/>
      <c r="I68" s="57"/>
      <c r="J68" s="57"/>
      <c r="K68" s="57"/>
      <c r="L68" s="57"/>
      <c r="M68" s="57"/>
      <c r="N68" s="57"/>
      <c r="O68" s="57"/>
      <c r="P68" s="36" t="str">
        <f t="shared" si="14"/>
        <v/>
      </c>
      <c r="Q68" s="58" t="str">
        <f t="shared" si="15"/>
        <v/>
      </c>
      <c r="R68" s="59" t="str">
        <f t="shared" si="16"/>
        <v/>
      </c>
      <c r="S68" s="59" t="str">
        <f t="shared" si="17"/>
        <v/>
      </c>
      <c r="T68" s="54"/>
      <c r="U68" s="59" t="str">
        <f t="shared" si="18"/>
        <v/>
      </c>
      <c r="V68" s="59" t="str">
        <f t="shared" si="19"/>
        <v/>
      </c>
      <c r="W68" s="54"/>
      <c r="X68" s="54"/>
      <c r="Y68" s="60" t="str">
        <f t="shared" si="20"/>
        <v/>
      </c>
      <c r="Z68" s="34" t="str">
        <f>IF($A68="","",RANK(Y68,$Y$5:$Y$152)+COUNTIF($Y$5:Y68,Y68)-1)</f>
        <v/>
      </c>
    </row>
    <row r="69" spans="1:26" s="44" customFormat="1" x14ac:dyDescent="0.3">
      <c r="A69" s="54"/>
      <c r="B69" s="54"/>
      <c r="C69" s="54"/>
      <c r="D69" s="55"/>
      <c r="E69" s="54"/>
      <c r="F69" s="54"/>
      <c r="G69" s="56"/>
      <c r="H69" s="57"/>
      <c r="I69" s="57"/>
      <c r="J69" s="57"/>
      <c r="K69" s="57"/>
      <c r="L69" s="57"/>
      <c r="M69" s="57"/>
      <c r="N69" s="57"/>
      <c r="O69" s="57"/>
      <c r="P69" s="36" t="str">
        <f t="shared" si="14"/>
        <v/>
      </c>
      <c r="Q69" s="58" t="str">
        <f t="shared" si="15"/>
        <v/>
      </c>
      <c r="R69" s="59" t="str">
        <f t="shared" si="16"/>
        <v/>
      </c>
      <c r="S69" s="59" t="str">
        <f t="shared" si="17"/>
        <v/>
      </c>
      <c r="T69" s="54"/>
      <c r="U69" s="59" t="str">
        <f t="shared" si="18"/>
        <v/>
      </c>
      <c r="V69" s="59" t="str">
        <f t="shared" si="19"/>
        <v/>
      </c>
      <c r="W69" s="54"/>
      <c r="X69" s="54"/>
      <c r="Y69" s="60" t="str">
        <f t="shared" si="20"/>
        <v/>
      </c>
      <c r="Z69" s="34" t="str">
        <f>IF($A69="","",RANK(Y69,$Y$5:$Y$152)+COUNTIF($Y$5:Y69,Y69)-1)</f>
        <v/>
      </c>
    </row>
    <row r="70" spans="1:26" s="44" customFormat="1" x14ac:dyDescent="0.3">
      <c r="A70" s="54"/>
      <c r="B70" s="54"/>
      <c r="C70" s="54"/>
      <c r="D70" s="55"/>
      <c r="E70" s="54"/>
      <c r="F70" s="54"/>
      <c r="G70" s="56"/>
      <c r="H70" s="57"/>
      <c r="I70" s="57"/>
      <c r="J70" s="57"/>
      <c r="K70" s="57"/>
      <c r="L70" s="57"/>
      <c r="M70" s="57"/>
      <c r="N70" s="57"/>
      <c r="O70" s="57"/>
      <c r="P70" s="36" t="str">
        <f t="shared" si="14"/>
        <v/>
      </c>
      <c r="Q70" s="58" t="str">
        <f t="shared" si="15"/>
        <v/>
      </c>
      <c r="R70" s="59" t="str">
        <f t="shared" si="16"/>
        <v/>
      </c>
      <c r="S70" s="59" t="str">
        <f t="shared" si="17"/>
        <v/>
      </c>
      <c r="T70" s="54"/>
      <c r="U70" s="59" t="str">
        <f t="shared" si="18"/>
        <v/>
      </c>
      <c r="V70" s="59" t="str">
        <f t="shared" si="19"/>
        <v/>
      </c>
      <c r="W70" s="54"/>
      <c r="X70" s="54"/>
      <c r="Y70" s="60" t="str">
        <f t="shared" si="20"/>
        <v/>
      </c>
      <c r="Z70" s="34" t="str">
        <f>IF($A70="","",RANK(Y70,$Y$5:$Y$152)+COUNTIF($Y$5:Y70,Y70)-1)</f>
        <v/>
      </c>
    </row>
    <row r="71" spans="1:26" s="44" customFormat="1" x14ac:dyDescent="0.3">
      <c r="A71" s="54"/>
      <c r="B71" s="54"/>
      <c r="C71" s="54"/>
      <c r="D71" s="55"/>
      <c r="E71" s="54"/>
      <c r="F71" s="54"/>
      <c r="G71" s="56"/>
      <c r="H71" s="57"/>
      <c r="I71" s="57"/>
      <c r="J71" s="57"/>
      <c r="K71" s="57"/>
      <c r="L71" s="57"/>
      <c r="M71" s="57"/>
      <c r="N71" s="57"/>
      <c r="O71" s="57"/>
      <c r="P71" s="36" t="str">
        <f t="shared" si="14"/>
        <v/>
      </c>
      <c r="Q71" s="58" t="str">
        <f t="shared" si="15"/>
        <v/>
      </c>
      <c r="R71" s="59" t="str">
        <f t="shared" si="16"/>
        <v/>
      </c>
      <c r="S71" s="59" t="str">
        <f t="shared" si="17"/>
        <v/>
      </c>
      <c r="T71" s="54"/>
      <c r="U71" s="59" t="str">
        <f t="shared" si="18"/>
        <v/>
      </c>
      <c r="V71" s="59" t="str">
        <f t="shared" si="19"/>
        <v/>
      </c>
      <c r="W71" s="54"/>
      <c r="X71" s="54"/>
      <c r="Y71" s="60" t="str">
        <f t="shared" si="20"/>
        <v/>
      </c>
      <c r="Z71" s="34" t="str">
        <f>IF($A71="","",RANK(Y71,$Y$5:$Y$152)+COUNTIF($Y$5:Y71,Y71)-1)</f>
        <v/>
      </c>
    </row>
    <row r="72" spans="1:26" s="44" customFormat="1" x14ac:dyDescent="0.3">
      <c r="A72" s="54"/>
      <c r="B72" s="54"/>
      <c r="C72" s="54"/>
      <c r="D72" s="55"/>
      <c r="E72" s="54"/>
      <c r="F72" s="54"/>
      <c r="G72" s="56"/>
      <c r="H72" s="57"/>
      <c r="I72" s="57"/>
      <c r="J72" s="57"/>
      <c r="K72" s="57"/>
      <c r="L72" s="57"/>
      <c r="M72" s="57"/>
      <c r="N72" s="57"/>
      <c r="O72" s="57"/>
      <c r="P72" s="36" t="str">
        <f t="shared" si="14"/>
        <v/>
      </c>
      <c r="Q72" s="58" t="str">
        <f t="shared" si="15"/>
        <v/>
      </c>
      <c r="R72" s="59" t="str">
        <f t="shared" si="16"/>
        <v/>
      </c>
      <c r="S72" s="59" t="str">
        <f t="shared" si="17"/>
        <v/>
      </c>
      <c r="T72" s="54"/>
      <c r="U72" s="59" t="str">
        <f t="shared" si="18"/>
        <v/>
      </c>
      <c r="V72" s="59" t="str">
        <f t="shared" si="19"/>
        <v/>
      </c>
      <c r="W72" s="54"/>
      <c r="X72" s="54"/>
      <c r="Y72" s="60" t="str">
        <f t="shared" si="20"/>
        <v/>
      </c>
      <c r="Z72" s="34" t="str">
        <f>IF($A72="","",RANK(Y72,$Y$5:$Y$152)+COUNTIF($Y$5:Y72,Y72)-1)</f>
        <v/>
      </c>
    </row>
    <row r="73" spans="1:26" s="44" customFormat="1" x14ac:dyDescent="0.3">
      <c r="A73" s="54"/>
      <c r="B73" s="54"/>
      <c r="C73" s="54"/>
      <c r="D73" s="55"/>
      <c r="E73" s="54"/>
      <c r="F73" s="54"/>
      <c r="G73" s="56"/>
      <c r="H73" s="57"/>
      <c r="I73" s="57"/>
      <c r="J73" s="57"/>
      <c r="K73" s="57"/>
      <c r="L73" s="57"/>
      <c r="M73" s="57"/>
      <c r="N73" s="57"/>
      <c r="O73" s="57"/>
      <c r="P73" s="36" t="str">
        <f t="shared" si="14"/>
        <v/>
      </c>
      <c r="Q73" s="58" t="str">
        <f t="shared" si="15"/>
        <v/>
      </c>
      <c r="R73" s="59" t="str">
        <f t="shared" si="16"/>
        <v/>
      </c>
      <c r="S73" s="59" t="str">
        <f t="shared" si="17"/>
        <v/>
      </c>
      <c r="T73" s="54"/>
      <c r="U73" s="59" t="str">
        <f t="shared" si="18"/>
        <v/>
      </c>
      <c r="V73" s="59" t="str">
        <f t="shared" si="19"/>
        <v/>
      </c>
      <c r="W73" s="54"/>
      <c r="X73" s="54"/>
      <c r="Y73" s="60" t="str">
        <f t="shared" si="20"/>
        <v/>
      </c>
      <c r="Z73" s="34" t="str">
        <f>IF($A73="","",RANK(Y73,$Y$5:$Y$152)+COUNTIF($Y$5:Y73,Y73)-1)</f>
        <v/>
      </c>
    </row>
    <row r="74" spans="1:26" s="44" customFormat="1" x14ac:dyDescent="0.3">
      <c r="A74" s="54"/>
      <c r="B74" s="54"/>
      <c r="C74" s="54"/>
      <c r="D74" s="55"/>
      <c r="E74" s="54"/>
      <c r="F74" s="54"/>
      <c r="G74" s="56"/>
      <c r="H74" s="57"/>
      <c r="I74" s="57"/>
      <c r="J74" s="57"/>
      <c r="K74" s="57"/>
      <c r="L74" s="57"/>
      <c r="M74" s="57"/>
      <c r="N74" s="57"/>
      <c r="O74" s="57"/>
      <c r="P74" s="36" t="str">
        <f t="shared" si="14"/>
        <v/>
      </c>
      <c r="Q74" s="58" t="str">
        <f t="shared" si="15"/>
        <v/>
      </c>
      <c r="R74" s="59" t="str">
        <f t="shared" si="16"/>
        <v/>
      </c>
      <c r="S74" s="59" t="str">
        <f t="shared" si="17"/>
        <v/>
      </c>
      <c r="T74" s="54"/>
      <c r="U74" s="59" t="str">
        <f t="shared" si="18"/>
        <v/>
      </c>
      <c r="V74" s="59" t="str">
        <f t="shared" si="19"/>
        <v/>
      </c>
      <c r="W74" s="54"/>
      <c r="X74" s="54"/>
      <c r="Y74" s="60" t="str">
        <f t="shared" si="20"/>
        <v/>
      </c>
      <c r="Z74" s="34" t="str">
        <f>IF($A74="","",RANK(Y74,$Y$5:$Y$152)+COUNTIF($Y$5:Y74,Y74)-1)</f>
        <v/>
      </c>
    </row>
    <row r="75" spans="1:26" s="44" customFormat="1" x14ac:dyDescent="0.3">
      <c r="A75" s="54"/>
      <c r="B75" s="54"/>
      <c r="C75" s="54"/>
      <c r="D75" s="55"/>
      <c r="E75" s="54"/>
      <c r="F75" s="54"/>
      <c r="G75" s="56"/>
      <c r="H75" s="57"/>
      <c r="I75" s="57"/>
      <c r="J75" s="57"/>
      <c r="K75" s="57"/>
      <c r="L75" s="57"/>
      <c r="M75" s="57"/>
      <c r="N75" s="57"/>
      <c r="O75" s="57"/>
      <c r="P75" s="36" t="str">
        <f t="shared" si="14"/>
        <v/>
      </c>
      <c r="Q75" s="58" t="str">
        <f t="shared" si="15"/>
        <v/>
      </c>
      <c r="R75" s="59" t="str">
        <f t="shared" si="16"/>
        <v/>
      </c>
      <c r="S75" s="59" t="str">
        <f t="shared" si="17"/>
        <v/>
      </c>
      <c r="T75" s="54"/>
      <c r="U75" s="59" t="str">
        <f t="shared" si="18"/>
        <v/>
      </c>
      <c r="V75" s="59" t="str">
        <f t="shared" si="19"/>
        <v/>
      </c>
      <c r="W75" s="54"/>
      <c r="X75" s="54"/>
      <c r="Y75" s="60" t="str">
        <f t="shared" si="20"/>
        <v/>
      </c>
      <c r="Z75" s="34" t="str">
        <f>IF($A75="","",RANK(Y75,$Y$5:$Y$152)+COUNTIF($Y$5:Y75,Y75)-1)</f>
        <v/>
      </c>
    </row>
    <row r="76" spans="1:26" s="44" customFormat="1" x14ac:dyDescent="0.3">
      <c r="A76" s="54"/>
      <c r="B76" s="54"/>
      <c r="C76" s="54"/>
      <c r="D76" s="55"/>
      <c r="E76" s="54"/>
      <c r="F76" s="54"/>
      <c r="G76" s="56"/>
      <c r="H76" s="57"/>
      <c r="I76" s="57"/>
      <c r="J76" s="57"/>
      <c r="K76" s="57"/>
      <c r="L76" s="57"/>
      <c r="M76" s="57"/>
      <c r="N76" s="57"/>
      <c r="O76" s="57"/>
      <c r="P76" s="36" t="str">
        <f t="shared" si="14"/>
        <v/>
      </c>
      <c r="Q76" s="58" t="str">
        <f t="shared" si="15"/>
        <v/>
      </c>
      <c r="R76" s="59" t="str">
        <f t="shared" si="16"/>
        <v/>
      </c>
      <c r="S76" s="59" t="str">
        <f t="shared" si="17"/>
        <v/>
      </c>
      <c r="T76" s="54"/>
      <c r="U76" s="59" t="str">
        <f t="shared" si="18"/>
        <v/>
      </c>
      <c r="V76" s="59" t="str">
        <f t="shared" si="19"/>
        <v/>
      </c>
      <c r="W76" s="54"/>
      <c r="X76" s="54"/>
      <c r="Y76" s="60" t="str">
        <f t="shared" si="20"/>
        <v/>
      </c>
      <c r="Z76" s="34" t="str">
        <f>IF($A76="","",RANK(Y76,$Y$5:$Y$152)+COUNTIF($Y$5:Y76,Y76)-1)</f>
        <v/>
      </c>
    </row>
    <row r="77" spans="1:26" s="44" customFormat="1" x14ac:dyDescent="0.3">
      <c r="A77" s="54"/>
      <c r="B77" s="54"/>
      <c r="C77" s="54"/>
      <c r="D77" s="55"/>
      <c r="E77" s="54"/>
      <c r="F77" s="54"/>
      <c r="G77" s="56"/>
      <c r="H77" s="57"/>
      <c r="I77" s="57"/>
      <c r="J77" s="57"/>
      <c r="K77" s="57"/>
      <c r="L77" s="57"/>
      <c r="M77" s="57"/>
      <c r="N77" s="57"/>
      <c r="O77" s="57"/>
      <c r="P77" s="36" t="str">
        <f t="shared" si="14"/>
        <v/>
      </c>
      <c r="Q77" s="58" t="str">
        <f t="shared" si="15"/>
        <v/>
      </c>
      <c r="R77" s="59" t="str">
        <f t="shared" si="16"/>
        <v/>
      </c>
      <c r="S77" s="59" t="str">
        <f t="shared" si="17"/>
        <v/>
      </c>
      <c r="T77" s="54"/>
      <c r="U77" s="59" t="str">
        <f t="shared" si="18"/>
        <v/>
      </c>
      <c r="V77" s="59" t="str">
        <f t="shared" si="19"/>
        <v/>
      </c>
      <c r="W77" s="54"/>
      <c r="X77" s="54"/>
      <c r="Y77" s="60" t="str">
        <f t="shared" si="20"/>
        <v/>
      </c>
      <c r="Z77" s="34" t="str">
        <f>IF($A77="","",RANK(Y77,$Y$5:$Y$152)+COUNTIF($Y$5:Y77,Y77)-1)</f>
        <v/>
      </c>
    </row>
    <row r="78" spans="1:26" s="44" customFormat="1" x14ac:dyDescent="0.3">
      <c r="A78" s="54"/>
      <c r="B78" s="54"/>
      <c r="C78" s="54"/>
      <c r="D78" s="55"/>
      <c r="E78" s="54"/>
      <c r="F78" s="54"/>
      <c r="G78" s="56"/>
      <c r="H78" s="57"/>
      <c r="I78" s="57"/>
      <c r="J78" s="57"/>
      <c r="K78" s="57"/>
      <c r="L78" s="57"/>
      <c r="M78" s="57"/>
      <c r="N78" s="57"/>
      <c r="O78" s="57"/>
      <c r="P78" s="36" t="str">
        <f t="shared" si="14"/>
        <v/>
      </c>
      <c r="Q78" s="58" t="str">
        <f t="shared" si="15"/>
        <v/>
      </c>
      <c r="R78" s="59" t="str">
        <f t="shared" si="16"/>
        <v/>
      </c>
      <c r="S78" s="59" t="str">
        <f t="shared" si="17"/>
        <v/>
      </c>
      <c r="T78" s="54"/>
      <c r="U78" s="59" t="str">
        <f t="shared" si="18"/>
        <v/>
      </c>
      <c r="V78" s="59" t="str">
        <f t="shared" si="19"/>
        <v/>
      </c>
      <c r="W78" s="54"/>
      <c r="X78" s="54"/>
      <c r="Y78" s="60" t="str">
        <f t="shared" si="20"/>
        <v/>
      </c>
      <c r="Z78" s="34" t="str">
        <f>IF($A78="","",RANK(Y78,$Y$5:$Y$152)+COUNTIF($Y$5:Y78,Y78)-1)</f>
        <v/>
      </c>
    </row>
    <row r="79" spans="1:26" s="44" customFormat="1" x14ac:dyDescent="0.3">
      <c r="A79" s="54"/>
      <c r="B79" s="54"/>
      <c r="C79" s="54"/>
      <c r="D79" s="55"/>
      <c r="E79" s="54"/>
      <c r="F79" s="54"/>
      <c r="G79" s="56"/>
      <c r="H79" s="57"/>
      <c r="I79" s="57"/>
      <c r="J79" s="57"/>
      <c r="K79" s="57"/>
      <c r="L79" s="57"/>
      <c r="M79" s="57"/>
      <c r="N79" s="57"/>
      <c r="O79" s="57"/>
      <c r="P79" s="36" t="str">
        <f t="shared" si="14"/>
        <v/>
      </c>
      <c r="Q79" s="58" t="str">
        <f t="shared" si="15"/>
        <v/>
      </c>
      <c r="R79" s="59" t="str">
        <f t="shared" si="16"/>
        <v/>
      </c>
      <c r="S79" s="59" t="str">
        <f t="shared" si="17"/>
        <v/>
      </c>
      <c r="T79" s="54"/>
      <c r="U79" s="59" t="str">
        <f t="shared" si="18"/>
        <v/>
      </c>
      <c r="V79" s="59" t="str">
        <f t="shared" si="19"/>
        <v/>
      </c>
      <c r="W79" s="54"/>
      <c r="X79" s="54"/>
      <c r="Y79" s="60" t="str">
        <f t="shared" si="20"/>
        <v/>
      </c>
      <c r="Z79" s="34" t="str">
        <f>IF($A79="","",RANK(Y79,$Y$5:$Y$152)+COUNTIF($Y$5:Y79,Y79)-1)</f>
        <v/>
      </c>
    </row>
    <row r="80" spans="1:26" s="44" customFormat="1" x14ac:dyDescent="0.3">
      <c r="A80" s="54"/>
      <c r="B80" s="54"/>
      <c r="C80" s="54"/>
      <c r="D80" s="55"/>
      <c r="E80" s="54"/>
      <c r="F80" s="54"/>
      <c r="G80" s="56"/>
      <c r="H80" s="57"/>
      <c r="I80" s="57"/>
      <c r="J80" s="57"/>
      <c r="K80" s="57"/>
      <c r="L80" s="57"/>
      <c r="M80" s="57"/>
      <c r="N80" s="57"/>
      <c r="O80" s="57"/>
      <c r="P80" s="36" t="str">
        <f t="shared" si="14"/>
        <v/>
      </c>
      <c r="Q80" s="58" t="str">
        <f t="shared" si="15"/>
        <v/>
      </c>
      <c r="R80" s="59" t="str">
        <f t="shared" si="16"/>
        <v/>
      </c>
      <c r="S80" s="59" t="str">
        <f t="shared" si="17"/>
        <v/>
      </c>
      <c r="T80" s="54"/>
      <c r="U80" s="59" t="str">
        <f t="shared" si="18"/>
        <v/>
      </c>
      <c r="V80" s="59" t="str">
        <f t="shared" si="19"/>
        <v/>
      </c>
      <c r="W80" s="54"/>
      <c r="X80" s="54"/>
      <c r="Y80" s="60" t="str">
        <f t="shared" si="20"/>
        <v/>
      </c>
      <c r="Z80" s="34" t="str">
        <f>IF($A80="","",RANK(Y80,$Y$5:$Y$152)+COUNTIF($Y$5:Y80,Y80)-1)</f>
        <v/>
      </c>
    </row>
    <row r="81" spans="1:26" s="44" customFormat="1" x14ac:dyDescent="0.3">
      <c r="A81" s="54"/>
      <c r="B81" s="54"/>
      <c r="C81" s="54"/>
      <c r="D81" s="55"/>
      <c r="E81" s="54"/>
      <c r="F81" s="54"/>
      <c r="G81" s="56"/>
      <c r="H81" s="57"/>
      <c r="I81" s="57"/>
      <c r="J81" s="57"/>
      <c r="K81" s="57"/>
      <c r="L81" s="57"/>
      <c r="M81" s="57"/>
      <c r="N81" s="57"/>
      <c r="O81" s="57"/>
      <c r="P81" s="36" t="str">
        <f t="shared" si="14"/>
        <v/>
      </c>
      <c r="Q81" s="58" t="str">
        <f t="shared" si="15"/>
        <v/>
      </c>
      <c r="R81" s="59" t="str">
        <f t="shared" si="16"/>
        <v/>
      </c>
      <c r="S81" s="59" t="str">
        <f t="shared" si="17"/>
        <v/>
      </c>
      <c r="T81" s="54"/>
      <c r="U81" s="59" t="str">
        <f t="shared" si="18"/>
        <v/>
      </c>
      <c r="V81" s="59" t="str">
        <f t="shared" si="19"/>
        <v/>
      </c>
      <c r="W81" s="54"/>
      <c r="X81" s="54"/>
      <c r="Y81" s="60" t="str">
        <f t="shared" si="20"/>
        <v/>
      </c>
      <c r="Z81" s="34" t="str">
        <f>IF($A81="","",RANK(Y81,$Y$5:$Y$152)+COUNTIF($Y$5:Y81,Y81)-1)</f>
        <v/>
      </c>
    </row>
    <row r="82" spans="1:26" s="44" customFormat="1" x14ac:dyDescent="0.3">
      <c r="A82" s="54"/>
      <c r="B82" s="54"/>
      <c r="C82" s="54"/>
      <c r="D82" s="55"/>
      <c r="E82" s="54"/>
      <c r="F82" s="54"/>
      <c r="G82" s="56"/>
      <c r="H82" s="57"/>
      <c r="I82" s="57"/>
      <c r="J82" s="57"/>
      <c r="K82" s="57"/>
      <c r="L82" s="57"/>
      <c r="M82" s="57"/>
      <c r="N82" s="57"/>
      <c r="O82" s="57"/>
      <c r="P82" s="36" t="str">
        <f t="shared" si="14"/>
        <v/>
      </c>
      <c r="Q82" s="58" t="str">
        <f t="shared" si="15"/>
        <v/>
      </c>
      <c r="R82" s="59" t="str">
        <f t="shared" si="16"/>
        <v/>
      </c>
      <c r="S82" s="59" t="str">
        <f t="shared" si="17"/>
        <v/>
      </c>
      <c r="T82" s="54"/>
      <c r="U82" s="59" t="str">
        <f t="shared" si="18"/>
        <v/>
      </c>
      <c r="V82" s="59" t="str">
        <f t="shared" si="19"/>
        <v/>
      </c>
      <c r="W82" s="54"/>
      <c r="X82" s="54"/>
      <c r="Y82" s="60" t="str">
        <f t="shared" si="20"/>
        <v/>
      </c>
      <c r="Z82" s="34" t="str">
        <f>IF($A82="","",RANK(Y82,$Y$5:$Y$152)+COUNTIF($Y$5:Y82,Y82)-1)</f>
        <v/>
      </c>
    </row>
    <row r="83" spans="1:26" s="44" customFormat="1" x14ac:dyDescent="0.3">
      <c r="A83" s="54"/>
      <c r="B83" s="54"/>
      <c r="C83" s="54"/>
      <c r="D83" s="55"/>
      <c r="E83" s="54"/>
      <c r="F83" s="54"/>
      <c r="G83" s="56"/>
      <c r="H83" s="57"/>
      <c r="I83" s="57"/>
      <c r="J83" s="57"/>
      <c r="K83" s="57"/>
      <c r="L83" s="57"/>
      <c r="M83" s="57"/>
      <c r="N83" s="57"/>
      <c r="O83" s="57"/>
      <c r="P83" s="36" t="str">
        <f t="shared" si="14"/>
        <v/>
      </c>
      <c r="Q83" s="58" t="str">
        <f t="shared" si="15"/>
        <v/>
      </c>
      <c r="R83" s="59" t="str">
        <f t="shared" si="16"/>
        <v/>
      </c>
      <c r="S83" s="59" t="str">
        <f t="shared" si="17"/>
        <v/>
      </c>
      <c r="T83" s="54"/>
      <c r="U83" s="59" t="str">
        <f t="shared" si="18"/>
        <v/>
      </c>
      <c r="V83" s="59" t="str">
        <f t="shared" si="19"/>
        <v/>
      </c>
      <c r="W83" s="54"/>
      <c r="X83" s="54"/>
      <c r="Y83" s="60" t="str">
        <f t="shared" si="20"/>
        <v/>
      </c>
      <c r="Z83" s="34" t="str">
        <f>IF($A83="","",RANK(Y83,$Y$5:$Y$152)+COUNTIF($Y$5:Y83,Y83)-1)</f>
        <v/>
      </c>
    </row>
    <row r="84" spans="1:26" s="44" customFormat="1" x14ac:dyDescent="0.3">
      <c r="A84" s="54"/>
      <c r="B84" s="54"/>
      <c r="C84" s="54"/>
      <c r="D84" s="55"/>
      <c r="E84" s="54"/>
      <c r="F84" s="54"/>
      <c r="G84" s="56"/>
      <c r="H84" s="57"/>
      <c r="I84" s="57"/>
      <c r="J84" s="57"/>
      <c r="K84" s="57"/>
      <c r="L84" s="57"/>
      <c r="M84" s="57"/>
      <c r="N84" s="57"/>
      <c r="O84" s="57"/>
      <c r="P84" s="36" t="str">
        <f t="shared" si="14"/>
        <v/>
      </c>
      <c r="Q84" s="58" t="str">
        <f t="shared" si="15"/>
        <v/>
      </c>
      <c r="R84" s="59" t="str">
        <f t="shared" si="16"/>
        <v/>
      </c>
      <c r="S84" s="59" t="str">
        <f t="shared" si="17"/>
        <v/>
      </c>
      <c r="T84" s="54"/>
      <c r="U84" s="59" t="str">
        <f t="shared" si="18"/>
        <v/>
      </c>
      <c r="V84" s="59" t="str">
        <f t="shared" si="19"/>
        <v/>
      </c>
      <c r="W84" s="54"/>
      <c r="X84" s="54"/>
      <c r="Y84" s="60" t="str">
        <f t="shared" si="20"/>
        <v/>
      </c>
      <c r="Z84" s="34" t="str">
        <f>IF($A84="","",RANK(Y84,$Y$5:$Y$152)+COUNTIF($Y$5:Y84,Y84)-1)</f>
        <v/>
      </c>
    </row>
    <row r="85" spans="1:26" s="44" customFormat="1" x14ac:dyDescent="0.3">
      <c r="A85" s="54"/>
      <c r="B85" s="54"/>
      <c r="C85" s="54"/>
      <c r="D85" s="55"/>
      <c r="E85" s="54"/>
      <c r="F85" s="54"/>
      <c r="G85" s="56"/>
      <c r="H85" s="57"/>
      <c r="I85" s="57"/>
      <c r="J85" s="57"/>
      <c r="K85" s="57"/>
      <c r="L85" s="57"/>
      <c r="M85" s="57"/>
      <c r="N85" s="57"/>
      <c r="O85" s="57"/>
      <c r="P85" s="36" t="str">
        <f t="shared" si="14"/>
        <v/>
      </c>
      <c r="Q85" s="58" t="str">
        <f t="shared" si="15"/>
        <v/>
      </c>
      <c r="R85" s="59" t="str">
        <f t="shared" si="16"/>
        <v/>
      </c>
      <c r="S85" s="59" t="str">
        <f t="shared" si="17"/>
        <v/>
      </c>
      <c r="T85" s="54"/>
      <c r="U85" s="59" t="str">
        <f t="shared" si="18"/>
        <v/>
      </c>
      <c r="V85" s="59" t="str">
        <f t="shared" si="19"/>
        <v/>
      </c>
      <c r="W85" s="54"/>
      <c r="X85" s="54"/>
      <c r="Y85" s="60" t="str">
        <f t="shared" si="20"/>
        <v/>
      </c>
      <c r="Z85" s="34" t="str">
        <f>IF($A85="","",RANK(Y85,$Y$5:$Y$152)+COUNTIF($Y$5:Y85,Y85)-1)</f>
        <v/>
      </c>
    </row>
    <row r="86" spans="1:26" s="44" customFormat="1" x14ac:dyDescent="0.3">
      <c r="A86" s="54"/>
      <c r="B86" s="54"/>
      <c r="C86" s="54"/>
      <c r="D86" s="55"/>
      <c r="E86" s="54"/>
      <c r="F86" s="54"/>
      <c r="G86" s="56"/>
      <c r="H86" s="57"/>
      <c r="I86" s="57"/>
      <c r="J86" s="57"/>
      <c r="K86" s="57"/>
      <c r="L86" s="57"/>
      <c r="M86" s="57"/>
      <c r="N86" s="57"/>
      <c r="O86" s="57"/>
      <c r="P86" s="36" t="str">
        <f t="shared" si="14"/>
        <v/>
      </c>
      <c r="Q86" s="58" t="str">
        <f t="shared" si="15"/>
        <v/>
      </c>
      <c r="R86" s="59" t="str">
        <f t="shared" si="16"/>
        <v/>
      </c>
      <c r="S86" s="59" t="str">
        <f t="shared" si="17"/>
        <v/>
      </c>
      <c r="T86" s="54"/>
      <c r="U86" s="59" t="str">
        <f t="shared" si="18"/>
        <v/>
      </c>
      <c r="V86" s="59" t="str">
        <f t="shared" si="19"/>
        <v/>
      </c>
      <c r="W86" s="54"/>
      <c r="X86" s="54"/>
      <c r="Y86" s="60" t="str">
        <f t="shared" si="20"/>
        <v/>
      </c>
      <c r="Z86" s="34" t="str">
        <f>IF($A86="","",RANK(Y86,$Y$5:$Y$152)+COUNTIF($Y$5:Y86,Y86)-1)</f>
        <v/>
      </c>
    </row>
    <row r="87" spans="1:26" s="44" customFormat="1" x14ac:dyDescent="0.3">
      <c r="A87" s="54"/>
      <c r="B87" s="54"/>
      <c r="C87" s="54"/>
      <c r="D87" s="55"/>
      <c r="E87" s="54"/>
      <c r="F87" s="54"/>
      <c r="G87" s="56"/>
      <c r="H87" s="57"/>
      <c r="I87" s="57"/>
      <c r="J87" s="57"/>
      <c r="K87" s="57"/>
      <c r="L87" s="57"/>
      <c r="M87" s="57"/>
      <c r="N87" s="57"/>
      <c r="O87" s="57"/>
      <c r="P87" s="36" t="str">
        <f t="shared" si="14"/>
        <v/>
      </c>
      <c r="Q87" s="58" t="str">
        <f t="shared" si="15"/>
        <v/>
      </c>
      <c r="R87" s="59" t="str">
        <f t="shared" si="16"/>
        <v/>
      </c>
      <c r="S87" s="59" t="str">
        <f t="shared" si="17"/>
        <v/>
      </c>
      <c r="T87" s="54"/>
      <c r="U87" s="59" t="str">
        <f t="shared" si="18"/>
        <v/>
      </c>
      <c r="V87" s="59" t="str">
        <f t="shared" si="19"/>
        <v/>
      </c>
      <c r="W87" s="54"/>
      <c r="X87" s="54"/>
      <c r="Y87" s="60" t="str">
        <f t="shared" si="20"/>
        <v/>
      </c>
      <c r="Z87" s="34" t="str">
        <f>IF($A87="","",RANK(Y87,$Y$5:$Y$152)+COUNTIF($Y$5:Y87,Y87)-1)</f>
        <v/>
      </c>
    </row>
    <row r="88" spans="1:26" s="44" customFormat="1" x14ac:dyDescent="0.3">
      <c r="A88" s="54"/>
      <c r="B88" s="54"/>
      <c r="C88" s="54"/>
      <c r="D88" s="55"/>
      <c r="E88" s="54"/>
      <c r="F88" s="54"/>
      <c r="G88" s="56"/>
      <c r="H88" s="57"/>
      <c r="I88" s="57"/>
      <c r="J88" s="57"/>
      <c r="K88" s="57"/>
      <c r="L88" s="57"/>
      <c r="M88" s="57"/>
      <c r="N88" s="57"/>
      <c r="O88" s="57"/>
      <c r="P88" s="36" t="str">
        <f t="shared" si="14"/>
        <v/>
      </c>
      <c r="Q88" s="58" t="str">
        <f t="shared" si="15"/>
        <v/>
      </c>
      <c r="R88" s="59" t="str">
        <f t="shared" si="16"/>
        <v/>
      </c>
      <c r="S88" s="59" t="str">
        <f t="shared" si="17"/>
        <v/>
      </c>
      <c r="T88" s="54"/>
      <c r="U88" s="59" t="str">
        <f t="shared" si="18"/>
        <v/>
      </c>
      <c r="V88" s="59" t="str">
        <f t="shared" si="19"/>
        <v/>
      </c>
      <c r="W88" s="54"/>
      <c r="X88" s="54"/>
      <c r="Y88" s="60" t="str">
        <f t="shared" si="20"/>
        <v/>
      </c>
      <c r="Z88" s="34" t="str">
        <f>IF($A88="","",RANK(Y88,$Y$5:$Y$152)+COUNTIF($Y$5:Y88,Y88)-1)</f>
        <v/>
      </c>
    </row>
    <row r="89" spans="1:26" s="44" customFormat="1" x14ac:dyDescent="0.3">
      <c r="A89" s="54"/>
      <c r="B89" s="54"/>
      <c r="C89" s="54"/>
      <c r="D89" s="55"/>
      <c r="E89" s="54"/>
      <c r="F89" s="54"/>
      <c r="G89" s="56"/>
      <c r="H89" s="57"/>
      <c r="I89" s="57"/>
      <c r="J89" s="57"/>
      <c r="K89" s="57"/>
      <c r="L89" s="57"/>
      <c r="M89" s="57"/>
      <c r="N89" s="57"/>
      <c r="O89" s="57"/>
      <c r="P89" s="36" t="str">
        <f t="shared" si="14"/>
        <v/>
      </c>
      <c r="Q89" s="58" t="str">
        <f t="shared" si="15"/>
        <v/>
      </c>
      <c r="R89" s="59" t="str">
        <f t="shared" si="16"/>
        <v/>
      </c>
      <c r="S89" s="59" t="str">
        <f t="shared" si="17"/>
        <v/>
      </c>
      <c r="T89" s="54"/>
      <c r="U89" s="59" t="str">
        <f t="shared" si="18"/>
        <v/>
      </c>
      <c r="V89" s="59" t="str">
        <f t="shared" si="19"/>
        <v/>
      </c>
      <c r="W89" s="54"/>
      <c r="X89" s="54"/>
      <c r="Y89" s="60" t="str">
        <f t="shared" si="20"/>
        <v/>
      </c>
      <c r="Z89" s="34" t="str">
        <f>IF($A89="","",RANK(Y89,$Y$5:$Y$152)+COUNTIF($Y$5:Y89,Y89)-1)</f>
        <v/>
      </c>
    </row>
    <row r="90" spans="1:26" s="44" customFormat="1" x14ac:dyDescent="0.3">
      <c r="A90" s="54"/>
      <c r="B90" s="54"/>
      <c r="C90" s="54"/>
      <c r="D90" s="55"/>
      <c r="E90" s="54"/>
      <c r="F90" s="54"/>
      <c r="G90" s="56"/>
      <c r="H90" s="57"/>
      <c r="I90" s="57"/>
      <c r="J90" s="57"/>
      <c r="K90" s="57"/>
      <c r="L90" s="57"/>
      <c r="M90" s="57"/>
      <c r="N90" s="57"/>
      <c r="O90" s="57"/>
      <c r="P90" s="36" t="str">
        <f t="shared" si="14"/>
        <v/>
      </c>
      <c r="Q90" s="58" t="str">
        <f t="shared" si="15"/>
        <v/>
      </c>
      <c r="R90" s="59" t="str">
        <f t="shared" si="16"/>
        <v/>
      </c>
      <c r="S90" s="59" t="str">
        <f t="shared" si="17"/>
        <v/>
      </c>
      <c r="T90" s="54"/>
      <c r="U90" s="59" t="str">
        <f t="shared" si="18"/>
        <v/>
      </c>
      <c r="V90" s="59" t="str">
        <f t="shared" si="19"/>
        <v/>
      </c>
      <c r="W90" s="54"/>
      <c r="X90" s="54"/>
      <c r="Y90" s="60" t="str">
        <f t="shared" si="20"/>
        <v/>
      </c>
      <c r="Z90" s="34" t="str">
        <f>IF($A90="","",RANK(Y90,$Y$5:$Y$152)+COUNTIF($Y$5:Y90,Y90)-1)</f>
        <v/>
      </c>
    </row>
    <row r="91" spans="1:26" s="44" customFormat="1" x14ac:dyDescent="0.3">
      <c r="A91" s="54"/>
      <c r="B91" s="54"/>
      <c r="C91" s="54"/>
      <c r="D91" s="55"/>
      <c r="E91" s="54"/>
      <c r="F91" s="54"/>
      <c r="G91" s="56"/>
      <c r="H91" s="57"/>
      <c r="I91" s="57"/>
      <c r="J91" s="57"/>
      <c r="K91" s="57"/>
      <c r="L91" s="57"/>
      <c r="M91" s="57"/>
      <c r="N91" s="57"/>
      <c r="O91" s="57"/>
      <c r="P91" s="36" t="str">
        <f t="shared" si="14"/>
        <v/>
      </c>
      <c r="Q91" s="58" t="str">
        <f t="shared" si="15"/>
        <v/>
      </c>
      <c r="R91" s="59" t="str">
        <f t="shared" si="16"/>
        <v/>
      </c>
      <c r="S91" s="59" t="str">
        <f t="shared" si="17"/>
        <v/>
      </c>
      <c r="T91" s="54"/>
      <c r="U91" s="59" t="str">
        <f t="shared" si="18"/>
        <v/>
      </c>
      <c r="V91" s="59" t="str">
        <f t="shared" si="19"/>
        <v/>
      </c>
      <c r="W91" s="54"/>
      <c r="X91" s="54"/>
      <c r="Y91" s="60" t="str">
        <f t="shared" si="20"/>
        <v/>
      </c>
      <c r="Z91" s="34" t="str">
        <f>IF($A91="","",RANK(Y91,$Y$5:$Y$152)+COUNTIF($Y$5:Y91,Y91)-1)</f>
        <v/>
      </c>
    </row>
    <row r="92" spans="1:26" s="44" customFormat="1" x14ac:dyDescent="0.3">
      <c r="A92" s="54"/>
      <c r="B92" s="54"/>
      <c r="C92" s="54"/>
      <c r="D92" s="55"/>
      <c r="E92" s="54"/>
      <c r="F92" s="54"/>
      <c r="G92" s="56"/>
      <c r="H92" s="57"/>
      <c r="I92" s="57"/>
      <c r="J92" s="57"/>
      <c r="K92" s="57"/>
      <c r="L92" s="57"/>
      <c r="M92" s="57"/>
      <c r="N92" s="57"/>
      <c r="O92" s="57"/>
      <c r="P92" s="36" t="str">
        <f t="shared" si="14"/>
        <v/>
      </c>
      <c r="Q92" s="58" t="str">
        <f t="shared" si="15"/>
        <v/>
      </c>
      <c r="R92" s="59" t="str">
        <f t="shared" si="16"/>
        <v/>
      </c>
      <c r="S92" s="59" t="str">
        <f t="shared" si="17"/>
        <v/>
      </c>
      <c r="T92" s="54"/>
      <c r="U92" s="59" t="str">
        <f t="shared" si="18"/>
        <v/>
      </c>
      <c r="V92" s="59" t="str">
        <f t="shared" si="19"/>
        <v/>
      </c>
      <c r="W92" s="54"/>
      <c r="X92" s="54"/>
      <c r="Y92" s="60" t="str">
        <f t="shared" si="20"/>
        <v/>
      </c>
      <c r="Z92" s="34" t="str">
        <f>IF($A92="","",RANK(Y92,$Y$5:$Y$152)+COUNTIF($Y$5:Y92,Y92)-1)</f>
        <v/>
      </c>
    </row>
    <row r="93" spans="1:26" s="44" customFormat="1" x14ac:dyDescent="0.3">
      <c r="A93" s="54"/>
      <c r="B93" s="54"/>
      <c r="C93" s="54"/>
      <c r="D93" s="55"/>
      <c r="E93" s="54"/>
      <c r="F93" s="54"/>
      <c r="G93" s="56"/>
      <c r="H93" s="57"/>
      <c r="I93" s="57"/>
      <c r="J93" s="57"/>
      <c r="K93" s="57"/>
      <c r="L93" s="57"/>
      <c r="M93" s="57"/>
      <c r="N93" s="57"/>
      <c r="O93" s="57"/>
      <c r="P93" s="36" t="str">
        <f t="shared" si="14"/>
        <v/>
      </c>
      <c r="Q93" s="58" t="str">
        <f t="shared" si="15"/>
        <v/>
      </c>
      <c r="R93" s="59" t="str">
        <f t="shared" si="16"/>
        <v/>
      </c>
      <c r="S93" s="59" t="str">
        <f t="shared" si="17"/>
        <v/>
      </c>
      <c r="T93" s="54"/>
      <c r="U93" s="59" t="str">
        <f t="shared" si="18"/>
        <v/>
      </c>
      <c r="V93" s="59" t="str">
        <f t="shared" si="19"/>
        <v/>
      </c>
      <c r="W93" s="54"/>
      <c r="X93" s="54"/>
      <c r="Y93" s="60" t="str">
        <f t="shared" si="20"/>
        <v/>
      </c>
      <c r="Z93" s="34" t="str">
        <f>IF($A93="","",RANK(Y93,$Y$5:$Y$152)+COUNTIF($Y$5:Y93,Y93)-1)</f>
        <v/>
      </c>
    </row>
    <row r="94" spans="1:26" s="44" customFormat="1" x14ac:dyDescent="0.3">
      <c r="A94" s="54"/>
      <c r="B94" s="54"/>
      <c r="C94" s="54"/>
      <c r="D94" s="55"/>
      <c r="E94" s="54"/>
      <c r="F94" s="54"/>
      <c r="G94" s="56"/>
      <c r="H94" s="57"/>
      <c r="I94" s="57"/>
      <c r="J94" s="57"/>
      <c r="K94" s="57"/>
      <c r="L94" s="57"/>
      <c r="M94" s="57"/>
      <c r="N94" s="57"/>
      <c r="O94" s="57"/>
      <c r="P94" s="36" t="str">
        <f t="shared" si="14"/>
        <v/>
      </c>
      <c r="Q94" s="58" t="str">
        <f t="shared" si="15"/>
        <v/>
      </c>
      <c r="R94" s="59" t="str">
        <f t="shared" si="16"/>
        <v/>
      </c>
      <c r="S94" s="59" t="str">
        <f t="shared" si="17"/>
        <v/>
      </c>
      <c r="T94" s="54"/>
      <c r="U94" s="59" t="str">
        <f t="shared" si="18"/>
        <v/>
      </c>
      <c r="V94" s="59" t="str">
        <f t="shared" si="19"/>
        <v/>
      </c>
      <c r="W94" s="54"/>
      <c r="X94" s="54"/>
      <c r="Y94" s="60" t="str">
        <f t="shared" si="20"/>
        <v/>
      </c>
      <c r="Z94" s="34" t="str">
        <f>IF($A94="","",RANK(Y94,$Y$5:$Y$152)+COUNTIF($Y$5:Y94,Y94)-1)</f>
        <v/>
      </c>
    </row>
    <row r="95" spans="1:26" s="44" customFormat="1" x14ac:dyDescent="0.3">
      <c r="A95" s="54"/>
      <c r="B95" s="54"/>
      <c r="C95" s="54"/>
      <c r="D95" s="55"/>
      <c r="E95" s="54"/>
      <c r="F95" s="54"/>
      <c r="G95" s="56"/>
      <c r="H95" s="57"/>
      <c r="I95" s="57"/>
      <c r="J95" s="57"/>
      <c r="K95" s="57"/>
      <c r="L95" s="57"/>
      <c r="M95" s="57"/>
      <c r="N95" s="57"/>
      <c r="O95" s="57"/>
      <c r="P95" s="36" t="str">
        <f t="shared" si="14"/>
        <v/>
      </c>
      <c r="Q95" s="58" t="str">
        <f t="shared" si="15"/>
        <v/>
      </c>
      <c r="R95" s="59" t="str">
        <f t="shared" si="16"/>
        <v/>
      </c>
      <c r="S95" s="59" t="str">
        <f t="shared" si="17"/>
        <v/>
      </c>
      <c r="T95" s="54"/>
      <c r="U95" s="59" t="str">
        <f t="shared" si="18"/>
        <v/>
      </c>
      <c r="V95" s="59" t="str">
        <f t="shared" si="19"/>
        <v/>
      </c>
      <c r="W95" s="54"/>
      <c r="X95" s="54"/>
      <c r="Y95" s="60" t="str">
        <f t="shared" si="20"/>
        <v/>
      </c>
      <c r="Z95" s="34" t="str">
        <f>IF($A95="","",RANK(Y95,$Y$5:$Y$152)+COUNTIF($Y$5:Y95,Y95)-1)</f>
        <v/>
      </c>
    </row>
    <row r="96" spans="1:26" s="44" customFormat="1" x14ac:dyDescent="0.3">
      <c r="A96" s="54"/>
      <c r="B96" s="54"/>
      <c r="C96" s="54"/>
      <c r="D96" s="55"/>
      <c r="E96" s="54"/>
      <c r="F96" s="54"/>
      <c r="G96" s="56"/>
      <c r="H96" s="57"/>
      <c r="I96" s="57"/>
      <c r="J96" s="57"/>
      <c r="K96" s="57"/>
      <c r="L96" s="57"/>
      <c r="M96" s="57"/>
      <c r="N96" s="57"/>
      <c r="O96" s="57"/>
      <c r="P96" s="36" t="str">
        <f t="shared" si="14"/>
        <v/>
      </c>
      <c r="Q96" s="58" t="str">
        <f t="shared" si="15"/>
        <v/>
      </c>
      <c r="R96" s="59" t="str">
        <f t="shared" si="16"/>
        <v/>
      </c>
      <c r="S96" s="59" t="str">
        <f t="shared" si="17"/>
        <v/>
      </c>
      <c r="T96" s="54"/>
      <c r="U96" s="59" t="str">
        <f t="shared" si="18"/>
        <v/>
      </c>
      <c r="V96" s="59" t="str">
        <f t="shared" si="19"/>
        <v/>
      </c>
      <c r="W96" s="54"/>
      <c r="X96" s="54"/>
      <c r="Y96" s="60" t="str">
        <f t="shared" si="20"/>
        <v/>
      </c>
      <c r="Z96" s="34" t="str">
        <f>IF($A96="","",RANK(Y96,$Y$5:$Y$152)+COUNTIF($Y$5:Y96,Y96)-1)</f>
        <v/>
      </c>
    </row>
    <row r="97" spans="1:26" s="44" customFormat="1" x14ac:dyDescent="0.3">
      <c r="A97" s="54"/>
      <c r="B97" s="54"/>
      <c r="C97" s="54"/>
      <c r="D97" s="55"/>
      <c r="E97" s="54"/>
      <c r="F97" s="54"/>
      <c r="G97" s="56"/>
      <c r="H97" s="57"/>
      <c r="I97" s="57"/>
      <c r="J97" s="57"/>
      <c r="K97" s="57"/>
      <c r="L97" s="57"/>
      <c r="M97" s="57"/>
      <c r="N97" s="57"/>
      <c r="O97" s="57"/>
      <c r="P97" s="36" t="str">
        <f t="shared" si="14"/>
        <v/>
      </c>
      <c r="Q97" s="58" t="str">
        <f t="shared" si="15"/>
        <v/>
      </c>
      <c r="R97" s="59" t="str">
        <f t="shared" si="16"/>
        <v/>
      </c>
      <c r="S97" s="59" t="str">
        <f t="shared" si="17"/>
        <v/>
      </c>
      <c r="T97" s="54"/>
      <c r="U97" s="59" t="str">
        <f t="shared" si="18"/>
        <v/>
      </c>
      <c r="V97" s="59" t="str">
        <f t="shared" si="19"/>
        <v/>
      </c>
      <c r="W97" s="54"/>
      <c r="X97" s="54"/>
      <c r="Y97" s="60" t="str">
        <f t="shared" si="20"/>
        <v/>
      </c>
      <c r="Z97" s="34" t="str">
        <f>IF($A97="","",RANK(Y97,$Y$5:$Y$152)+COUNTIF($Y$5:Y97,Y97)-1)</f>
        <v/>
      </c>
    </row>
    <row r="98" spans="1:26" s="44" customFormat="1" x14ac:dyDescent="0.3">
      <c r="A98" s="54"/>
      <c r="B98" s="54"/>
      <c r="C98" s="54"/>
      <c r="D98" s="55"/>
      <c r="E98" s="54"/>
      <c r="F98" s="54"/>
      <c r="G98" s="56"/>
      <c r="H98" s="57"/>
      <c r="I98" s="57"/>
      <c r="J98" s="57"/>
      <c r="K98" s="57"/>
      <c r="L98" s="57"/>
      <c r="M98" s="57"/>
      <c r="N98" s="57"/>
      <c r="O98" s="57"/>
      <c r="P98" s="36" t="str">
        <f t="shared" si="14"/>
        <v/>
      </c>
      <c r="Q98" s="58" t="str">
        <f t="shared" si="15"/>
        <v/>
      </c>
      <c r="R98" s="59" t="str">
        <f t="shared" si="16"/>
        <v/>
      </c>
      <c r="S98" s="59" t="str">
        <f t="shared" si="17"/>
        <v/>
      </c>
      <c r="T98" s="54"/>
      <c r="U98" s="59" t="str">
        <f t="shared" si="18"/>
        <v/>
      </c>
      <c r="V98" s="59" t="str">
        <f t="shared" si="19"/>
        <v/>
      </c>
      <c r="W98" s="54"/>
      <c r="X98" s="54"/>
      <c r="Y98" s="60" t="str">
        <f t="shared" si="20"/>
        <v/>
      </c>
      <c r="Z98" s="34" t="str">
        <f>IF($A98="","",RANK(Y98,$Y$5:$Y$152)+COUNTIF($Y$5:Y98,Y98)-1)</f>
        <v/>
      </c>
    </row>
    <row r="99" spans="1:26" s="44" customFormat="1" x14ac:dyDescent="0.3">
      <c r="A99" s="54"/>
      <c r="B99" s="54"/>
      <c r="C99" s="54"/>
      <c r="D99" s="55"/>
      <c r="E99" s="54"/>
      <c r="F99" s="54"/>
      <c r="G99" s="56"/>
      <c r="H99" s="57"/>
      <c r="I99" s="57"/>
      <c r="J99" s="57"/>
      <c r="K99" s="57"/>
      <c r="L99" s="57"/>
      <c r="M99" s="57"/>
      <c r="N99" s="57"/>
      <c r="O99" s="57"/>
      <c r="P99" s="36" t="str">
        <f t="shared" ref="P99:P130" si="21">IF($A99="","",SUM(H99:O99))</f>
        <v/>
      </c>
      <c r="Q99" s="58" t="str">
        <f t="shared" ref="Q99:Q130" si="22">IF($A99="","",P99/100)</f>
        <v/>
      </c>
      <c r="R99" s="59" t="str">
        <f t="shared" ref="R99:R130" si="23">IF($A99="","",INDEX(ParamRangoNivel,MATCH(P99,ParamRangoDesde,1)))</f>
        <v/>
      </c>
      <c r="S99" s="59" t="str">
        <f t="shared" ref="S99:S130" si="24">IF($A99="","",IF(T99="Sí","PRIORIDAD 1",INDEX(ParamPrioNombre,MATCH(P99,ParamPrioDesde,1))))</f>
        <v/>
      </c>
      <c r="T99" s="54"/>
      <c r="U99" s="59" t="str">
        <f t="shared" ref="U99:U130" si="25">IF($A99="","",IF(K99="","",IF(K99/20*100&gt;=60,"ALTA",IF(K99/20*100&gt;=30,"MEDIA","BAJA"))))</f>
        <v/>
      </c>
      <c r="V99" s="59" t="str">
        <f t="shared" ref="V99:V130" si="26">IF($A99="","",INDEX(ParamRangoSemaforo,MATCH(P99,ParamRangoDesde,1)))</f>
        <v/>
      </c>
      <c r="W99" s="54"/>
      <c r="X99" s="54"/>
      <c r="Y99" s="60" t="str">
        <f t="shared" ref="Y99:Y130" si="27">IF($A99="","",(IF(S99="PRIORIDAD 1",3,IF(S99="PRIORIDAD 2",2,1)))*100000+IF(T99="Sí",1000,0)+P99)</f>
        <v/>
      </c>
      <c r="Z99" s="34" t="str">
        <f>IF($A99="","",RANK(Y99,$Y$5:$Y$152)+COUNTIF($Y$5:Y99,Y99)-1)</f>
        <v/>
      </c>
    </row>
    <row r="100" spans="1:26" s="44" customFormat="1" x14ac:dyDescent="0.3">
      <c r="A100" s="54"/>
      <c r="B100" s="54"/>
      <c r="C100" s="54"/>
      <c r="D100" s="55"/>
      <c r="E100" s="54"/>
      <c r="F100" s="54"/>
      <c r="G100" s="56"/>
      <c r="H100" s="57"/>
      <c r="I100" s="57"/>
      <c r="J100" s="57"/>
      <c r="K100" s="57"/>
      <c r="L100" s="57"/>
      <c r="M100" s="57"/>
      <c r="N100" s="57"/>
      <c r="O100" s="57"/>
      <c r="P100" s="36" t="str">
        <f t="shared" si="21"/>
        <v/>
      </c>
      <c r="Q100" s="58" t="str">
        <f t="shared" si="22"/>
        <v/>
      </c>
      <c r="R100" s="59" t="str">
        <f t="shared" si="23"/>
        <v/>
      </c>
      <c r="S100" s="59" t="str">
        <f t="shared" si="24"/>
        <v/>
      </c>
      <c r="T100" s="54"/>
      <c r="U100" s="59" t="str">
        <f t="shared" si="25"/>
        <v/>
      </c>
      <c r="V100" s="59" t="str">
        <f t="shared" si="26"/>
        <v/>
      </c>
      <c r="W100" s="54"/>
      <c r="X100" s="54"/>
      <c r="Y100" s="60" t="str">
        <f t="shared" si="27"/>
        <v/>
      </c>
      <c r="Z100" s="34" t="str">
        <f>IF($A100="","",RANK(Y100,$Y$5:$Y$152)+COUNTIF($Y$5:Y100,Y100)-1)</f>
        <v/>
      </c>
    </row>
    <row r="101" spans="1:26" s="44" customFormat="1" x14ac:dyDescent="0.3">
      <c r="A101" s="54"/>
      <c r="B101" s="54"/>
      <c r="C101" s="54"/>
      <c r="D101" s="55"/>
      <c r="E101" s="54"/>
      <c r="F101" s="54"/>
      <c r="G101" s="56"/>
      <c r="H101" s="57"/>
      <c r="I101" s="57"/>
      <c r="J101" s="57"/>
      <c r="K101" s="57"/>
      <c r="L101" s="57"/>
      <c r="M101" s="57"/>
      <c r="N101" s="57"/>
      <c r="O101" s="57"/>
      <c r="P101" s="36" t="str">
        <f t="shared" si="21"/>
        <v/>
      </c>
      <c r="Q101" s="58" t="str">
        <f t="shared" si="22"/>
        <v/>
      </c>
      <c r="R101" s="59" t="str">
        <f t="shared" si="23"/>
        <v/>
      </c>
      <c r="S101" s="59" t="str">
        <f t="shared" si="24"/>
        <v/>
      </c>
      <c r="T101" s="54"/>
      <c r="U101" s="59" t="str">
        <f t="shared" si="25"/>
        <v/>
      </c>
      <c r="V101" s="59" t="str">
        <f t="shared" si="26"/>
        <v/>
      </c>
      <c r="W101" s="54"/>
      <c r="X101" s="54"/>
      <c r="Y101" s="60" t="str">
        <f t="shared" si="27"/>
        <v/>
      </c>
      <c r="Z101" s="34" t="str">
        <f>IF($A101="","",RANK(Y101,$Y$5:$Y$152)+COUNTIF($Y$5:Y101,Y101)-1)</f>
        <v/>
      </c>
    </row>
    <row r="102" spans="1:26" s="44" customFormat="1" x14ac:dyDescent="0.3">
      <c r="A102" s="54"/>
      <c r="B102" s="54"/>
      <c r="C102" s="54"/>
      <c r="D102" s="55"/>
      <c r="E102" s="54"/>
      <c r="F102" s="54"/>
      <c r="G102" s="56"/>
      <c r="H102" s="57"/>
      <c r="I102" s="57"/>
      <c r="J102" s="57"/>
      <c r="K102" s="57"/>
      <c r="L102" s="57"/>
      <c r="M102" s="57"/>
      <c r="N102" s="57"/>
      <c r="O102" s="57"/>
      <c r="P102" s="36" t="str">
        <f t="shared" si="21"/>
        <v/>
      </c>
      <c r="Q102" s="58" t="str">
        <f t="shared" si="22"/>
        <v/>
      </c>
      <c r="R102" s="59" t="str">
        <f t="shared" si="23"/>
        <v/>
      </c>
      <c r="S102" s="59" t="str">
        <f t="shared" si="24"/>
        <v/>
      </c>
      <c r="T102" s="54"/>
      <c r="U102" s="59" t="str">
        <f t="shared" si="25"/>
        <v/>
      </c>
      <c r="V102" s="59" t="str">
        <f t="shared" si="26"/>
        <v/>
      </c>
      <c r="W102" s="54"/>
      <c r="X102" s="54"/>
      <c r="Y102" s="60" t="str">
        <f t="shared" si="27"/>
        <v/>
      </c>
      <c r="Z102" s="34" t="str">
        <f>IF($A102="","",RANK(Y102,$Y$5:$Y$152)+COUNTIF($Y$5:Y102,Y102)-1)</f>
        <v/>
      </c>
    </row>
    <row r="103" spans="1:26" s="44" customFormat="1" x14ac:dyDescent="0.3">
      <c r="A103" s="54"/>
      <c r="B103" s="54"/>
      <c r="C103" s="54"/>
      <c r="D103" s="55"/>
      <c r="E103" s="54"/>
      <c r="F103" s="54"/>
      <c r="G103" s="56"/>
      <c r="H103" s="57"/>
      <c r="I103" s="57"/>
      <c r="J103" s="57"/>
      <c r="K103" s="57"/>
      <c r="L103" s="57"/>
      <c r="M103" s="57"/>
      <c r="N103" s="57"/>
      <c r="O103" s="57"/>
      <c r="P103" s="36" t="str">
        <f t="shared" si="21"/>
        <v/>
      </c>
      <c r="Q103" s="58" t="str">
        <f t="shared" si="22"/>
        <v/>
      </c>
      <c r="R103" s="59" t="str">
        <f t="shared" si="23"/>
        <v/>
      </c>
      <c r="S103" s="59" t="str">
        <f t="shared" si="24"/>
        <v/>
      </c>
      <c r="T103" s="54"/>
      <c r="U103" s="59" t="str">
        <f t="shared" si="25"/>
        <v/>
      </c>
      <c r="V103" s="59" t="str">
        <f t="shared" si="26"/>
        <v/>
      </c>
      <c r="W103" s="54"/>
      <c r="X103" s="54"/>
      <c r="Y103" s="60" t="str">
        <f t="shared" si="27"/>
        <v/>
      </c>
      <c r="Z103" s="34" t="str">
        <f>IF($A103="","",RANK(Y103,$Y$5:$Y$152)+COUNTIF($Y$5:Y103,Y103)-1)</f>
        <v/>
      </c>
    </row>
    <row r="104" spans="1:26" s="44" customFormat="1" x14ac:dyDescent="0.3">
      <c r="A104" s="54"/>
      <c r="B104" s="54"/>
      <c r="C104" s="54"/>
      <c r="D104" s="55"/>
      <c r="E104" s="54"/>
      <c r="F104" s="54"/>
      <c r="G104" s="56"/>
      <c r="H104" s="57"/>
      <c r="I104" s="57"/>
      <c r="J104" s="57"/>
      <c r="K104" s="57"/>
      <c r="L104" s="57"/>
      <c r="M104" s="57"/>
      <c r="N104" s="57"/>
      <c r="O104" s="57"/>
      <c r="P104" s="36" t="str">
        <f t="shared" si="21"/>
        <v/>
      </c>
      <c r="Q104" s="58" t="str">
        <f t="shared" si="22"/>
        <v/>
      </c>
      <c r="R104" s="59" t="str">
        <f t="shared" si="23"/>
        <v/>
      </c>
      <c r="S104" s="59" t="str">
        <f t="shared" si="24"/>
        <v/>
      </c>
      <c r="T104" s="54"/>
      <c r="U104" s="59" t="str">
        <f t="shared" si="25"/>
        <v/>
      </c>
      <c r="V104" s="59" t="str">
        <f t="shared" si="26"/>
        <v/>
      </c>
      <c r="W104" s="54"/>
      <c r="X104" s="54"/>
      <c r="Y104" s="60" t="str">
        <f t="shared" si="27"/>
        <v/>
      </c>
      <c r="Z104" s="34" t="str">
        <f>IF($A104="","",RANK(Y104,$Y$5:$Y$152)+COUNTIF($Y$5:Y104,Y104)-1)</f>
        <v/>
      </c>
    </row>
    <row r="105" spans="1:26" s="44" customFormat="1" x14ac:dyDescent="0.3">
      <c r="A105" s="54"/>
      <c r="B105" s="54"/>
      <c r="C105" s="54"/>
      <c r="D105" s="55"/>
      <c r="E105" s="54"/>
      <c r="F105" s="54"/>
      <c r="G105" s="56"/>
      <c r="H105" s="57"/>
      <c r="I105" s="57"/>
      <c r="J105" s="57"/>
      <c r="K105" s="57"/>
      <c r="L105" s="57"/>
      <c r="M105" s="57"/>
      <c r="N105" s="57"/>
      <c r="O105" s="57"/>
      <c r="P105" s="36" t="str">
        <f t="shared" si="21"/>
        <v/>
      </c>
      <c r="Q105" s="58" t="str">
        <f t="shared" si="22"/>
        <v/>
      </c>
      <c r="R105" s="59" t="str">
        <f t="shared" si="23"/>
        <v/>
      </c>
      <c r="S105" s="59" t="str">
        <f t="shared" si="24"/>
        <v/>
      </c>
      <c r="T105" s="54"/>
      <c r="U105" s="59" t="str">
        <f t="shared" si="25"/>
        <v/>
      </c>
      <c r="V105" s="59" t="str">
        <f t="shared" si="26"/>
        <v/>
      </c>
      <c r="W105" s="54"/>
      <c r="X105" s="54"/>
      <c r="Y105" s="60" t="str">
        <f t="shared" si="27"/>
        <v/>
      </c>
      <c r="Z105" s="34" t="str">
        <f>IF($A105="","",RANK(Y105,$Y$5:$Y$152)+COUNTIF($Y$5:Y105,Y105)-1)</f>
        <v/>
      </c>
    </row>
    <row r="106" spans="1:26" s="44" customFormat="1" x14ac:dyDescent="0.3">
      <c r="A106" s="54"/>
      <c r="B106" s="54"/>
      <c r="C106" s="54"/>
      <c r="D106" s="55"/>
      <c r="E106" s="54"/>
      <c r="F106" s="54"/>
      <c r="G106" s="56"/>
      <c r="H106" s="57"/>
      <c r="I106" s="57"/>
      <c r="J106" s="57"/>
      <c r="K106" s="57"/>
      <c r="L106" s="57"/>
      <c r="M106" s="57"/>
      <c r="N106" s="57"/>
      <c r="O106" s="57"/>
      <c r="P106" s="36" t="str">
        <f t="shared" si="21"/>
        <v/>
      </c>
      <c r="Q106" s="58" t="str">
        <f t="shared" si="22"/>
        <v/>
      </c>
      <c r="R106" s="59" t="str">
        <f t="shared" si="23"/>
        <v/>
      </c>
      <c r="S106" s="59" t="str">
        <f t="shared" si="24"/>
        <v/>
      </c>
      <c r="T106" s="54"/>
      <c r="U106" s="59" t="str">
        <f t="shared" si="25"/>
        <v/>
      </c>
      <c r="V106" s="59" t="str">
        <f t="shared" si="26"/>
        <v/>
      </c>
      <c r="W106" s="54"/>
      <c r="X106" s="54"/>
      <c r="Y106" s="60" t="str">
        <f t="shared" si="27"/>
        <v/>
      </c>
      <c r="Z106" s="34" t="str">
        <f>IF($A106="","",RANK(Y106,$Y$5:$Y$152)+COUNTIF($Y$5:Y106,Y106)-1)</f>
        <v/>
      </c>
    </row>
    <row r="107" spans="1:26" s="44" customFormat="1" x14ac:dyDescent="0.3">
      <c r="A107" s="54"/>
      <c r="B107" s="54"/>
      <c r="C107" s="54"/>
      <c r="D107" s="55"/>
      <c r="E107" s="54"/>
      <c r="F107" s="54"/>
      <c r="G107" s="56"/>
      <c r="H107" s="57"/>
      <c r="I107" s="57"/>
      <c r="J107" s="57"/>
      <c r="K107" s="57"/>
      <c r="L107" s="57"/>
      <c r="M107" s="57"/>
      <c r="N107" s="57"/>
      <c r="O107" s="57"/>
      <c r="P107" s="36" t="str">
        <f t="shared" si="21"/>
        <v/>
      </c>
      <c r="Q107" s="58" t="str">
        <f t="shared" si="22"/>
        <v/>
      </c>
      <c r="R107" s="59" t="str">
        <f t="shared" si="23"/>
        <v/>
      </c>
      <c r="S107" s="59" t="str">
        <f t="shared" si="24"/>
        <v/>
      </c>
      <c r="T107" s="54"/>
      <c r="U107" s="59" t="str">
        <f t="shared" si="25"/>
        <v/>
      </c>
      <c r="V107" s="59" t="str">
        <f t="shared" si="26"/>
        <v/>
      </c>
      <c r="W107" s="54"/>
      <c r="X107" s="54"/>
      <c r="Y107" s="60" t="str">
        <f t="shared" si="27"/>
        <v/>
      </c>
      <c r="Z107" s="34" t="str">
        <f>IF($A107="","",RANK(Y107,$Y$5:$Y$152)+COUNTIF($Y$5:Y107,Y107)-1)</f>
        <v/>
      </c>
    </row>
    <row r="108" spans="1:26" s="44" customFormat="1" x14ac:dyDescent="0.3">
      <c r="A108" s="54"/>
      <c r="B108" s="54"/>
      <c r="C108" s="54"/>
      <c r="D108" s="55"/>
      <c r="E108" s="54"/>
      <c r="F108" s="54"/>
      <c r="G108" s="56"/>
      <c r="H108" s="57"/>
      <c r="I108" s="57"/>
      <c r="J108" s="57"/>
      <c r="K108" s="57"/>
      <c r="L108" s="57"/>
      <c r="M108" s="57"/>
      <c r="N108" s="57"/>
      <c r="O108" s="57"/>
      <c r="P108" s="36" t="str">
        <f t="shared" si="21"/>
        <v/>
      </c>
      <c r="Q108" s="58" t="str">
        <f t="shared" si="22"/>
        <v/>
      </c>
      <c r="R108" s="59" t="str">
        <f t="shared" si="23"/>
        <v/>
      </c>
      <c r="S108" s="59" t="str">
        <f t="shared" si="24"/>
        <v/>
      </c>
      <c r="T108" s="54"/>
      <c r="U108" s="59" t="str">
        <f t="shared" si="25"/>
        <v/>
      </c>
      <c r="V108" s="59" t="str">
        <f t="shared" si="26"/>
        <v/>
      </c>
      <c r="W108" s="54"/>
      <c r="X108" s="54"/>
      <c r="Y108" s="60" t="str">
        <f t="shared" si="27"/>
        <v/>
      </c>
      <c r="Z108" s="34" t="str">
        <f>IF($A108="","",RANK(Y108,$Y$5:$Y$152)+COUNTIF($Y$5:Y108,Y108)-1)</f>
        <v/>
      </c>
    </row>
    <row r="109" spans="1:26" s="44" customFormat="1" x14ac:dyDescent="0.3">
      <c r="A109" s="54"/>
      <c r="B109" s="54"/>
      <c r="C109" s="54"/>
      <c r="D109" s="55"/>
      <c r="E109" s="54"/>
      <c r="F109" s="54"/>
      <c r="G109" s="56"/>
      <c r="H109" s="57"/>
      <c r="I109" s="57"/>
      <c r="J109" s="57"/>
      <c r="K109" s="57"/>
      <c r="L109" s="57"/>
      <c r="M109" s="57"/>
      <c r="N109" s="57"/>
      <c r="O109" s="57"/>
      <c r="P109" s="36" t="str">
        <f t="shared" si="21"/>
        <v/>
      </c>
      <c r="Q109" s="58" t="str">
        <f t="shared" si="22"/>
        <v/>
      </c>
      <c r="R109" s="59" t="str">
        <f t="shared" si="23"/>
        <v/>
      </c>
      <c r="S109" s="59" t="str">
        <f t="shared" si="24"/>
        <v/>
      </c>
      <c r="T109" s="54"/>
      <c r="U109" s="59" t="str">
        <f t="shared" si="25"/>
        <v/>
      </c>
      <c r="V109" s="59" t="str">
        <f t="shared" si="26"/>
        <v/>
      </c>
      <c r="W109" s="54"/>
      <c r="X109" s="54"/>
      <c r="Y109" s="60" t="str">
        <f t="shared" si="27"/>
        <v/>
      </c>
      <c r="Z109" s="34" t="str">
        <f>IF($A109="","",RANK(Y109,$Y$5:$Y$152)+COUNTIF($Y$5:Y109,Y109)-1)</f>
        <v/>
      </c>
    </row>
    <row r="110" spans="1:26" s="44" customFormat="1" x14ac:dyDescent="0.3">
      <c r="A110" s="54"/>
      <c r="B110" s="54"/>
      <c r="C110" s="54"/>
      <c r="D110" s="55"/>
      <c r="E110" s="54"/>
      <c r="F110" s="54"/>
      <c r="G110" s="56"/>
      <c r="H110" s="57"/>
      <c r="I110" s="57"/>
      <c r="J110" s="57"/>
      <c r="K110" s="57"/>
      <c r="L110" s="57"/>
      <c r="M110" s="57"/>
      <c r="N110" s="57"/>
      <c r="O110" s="57"/>
      <c r="P110" s="36" t="str">
        <f t="shared" si="21"/>
        <v/>
      </c>
      <c r="Q110" s="58" t="str">
        <f t="shared" si="22"/>
        <v/>
      </c>
      <c r="R110" s="59" t="str">
        <f t="shared" si="23"/>
        <v/>
      </c>
      <c r="S110" s="59" t="str">
        <f t="shared" si="24"/>
        <v/>
      </c>
      <c r="T110" s="54"/>
      <c r="U110" s="59" t="str">
        <f t="shared" si="25"/>
        <v/>
      </c>
      <c r="V110" s="59" t="str">
        <f t="shared" si="26"/>
        <v/>
      </c>
      <c r="W110" s="54"/>
      <c r="X110" s="54"/>
      <c r="Y110" s="60" t="str">
        <f t="shared" si="27"/>
        <v/>
      </c>
      <c r="Z110" s="34" t="str">
        <f>IF($A110="","",RANK(Y110,$Y$5:$Y$152)+COUNTIF($Y$5:Y110,Y110)-1)</f>
        <v/>
      </c>
    </row>
    <row r="111" spans="1:26" s="44" customFormat="1" x14ac:dyDescent="0.3">
      <c r="A111" s="54"/>
      <c r="B111" s="54"/>
      <c r="C111" s="54"/>
      <c r="D111" s="55"/>
      <c r="E111" s="54"/>
      <c r="F111" s="54"/>
      <c r="G111" s="56"/>
      <c r="H111" s="57"/>
      <c r="I111" s="57"/>
      <c r="J111" s="57"/>
      <c r="K111" s="57"/>
      <c r="L111" s="57"/>
      <c r="M111" s="57"/>
      <c r="N111" s="57"/>
      <c r="O111" s="57"/>
      <c r="P111" s="36" t="str">
        <f t="shared" si="21"/>
        <v/>
      </c>
      <c r="Q111" s="58" t="str">
        <f t="shared" si="22"/>
        <v/>
      </c>
      <c r="R111" s="59" t="str">
        <f t="shared" si="23"/>
        <v/>
      </c>
      <c r="S111" s="59" t="str">
        <f t="shared" si="24"/>
        <v/>
      </c>
      <c r="T111" s="54"/>
      <c r="U111" s="59" t="str">
        <f t="shared" si="25"/>
        <v/>
      </c>
      <c r="V111" s="59" t="str">
        <f t="shared" si="26"/>
        <v/>
      </c>
      <c r="W111" s="54"/>
      <c r="X111" s="54"/>
      <c r="Y111" s="60" t="str">
        <f t="shared" si="27"/>
        <v/>
      </c>
      <c r="Z111" s="34" t="str">
        <f>IF($A111="","",RANK(Y111,$Y$5:$Y$152)+COUNTIF($Y$5:Y111,Y111)-1)</f>
        <v/>
      </c>
    </row>
    <row r="112" spans="1:26" s="44" customFormat="1" x14ac:dyDescent="0.3">
      <c r="A112" s="54"/>
      <c r="B112" s="54"/>
      <c r="C112" s="54"/>
      <c r="D112" s="55"/>
      <c r="E112" s="54"/>
      <c r="F112" s="54"/>
      <c r="G112" s="56"/>
      <c r="H112" s="57"/>
      <c r="I112" s="57"/>
      <c r="J112" s="57"/>
      <c r="K112" s="57"/>
      <c r="L112" s="57"/>
      <c r="M112" s="57"/>
      <c r="N112" s="57"/>
      <c r="O112" s="57"/>
      <c r="P112" s="36" t="str">
        <f t="shared" si="21"/>
        <v/>
      </c>
      <c r="Q112" s="58" t="str">
        <f t="shared" si="22"/>
        <v/>
      </c>
      <c r="R112" s="59" t="str">
        <f t="shared" si="23"/>
        <v/>
      </c>
      <c r="S112" s="59" t="str">
        <f t="shared" si="24"/>
        <v/>
      </c>
      <c r="T112" s="54"/>
      <c r="U112" s="59" t="str">
        <f t="shared" si="25"/>
        <v/>
      </c>
      <c r="V112" s="59" t="str">
        <f t="shared" si="26"/>
        <v/>
      </c>
      <c r="W112" s="54"/>
      <c r="X112" s="54"/>
      <c r="Y112" s="60" t="str">
        <f t="shared" si="27"/>
        <v/>
      </c>
      <c r="Z112" s="34" t="str">
        <f>IF($A112="","",RANK(Y112,$Y$5:$Y$152)+COUNTIF($Y$5:Y112,Y112)-1)</f>
        <v/>
      </c>
    </row>
    <row r="113" spans="1:26" s="44" customFormat="1" x14ac:dyDescent="0.3">
      <c r="A113" s="54"/>
      <c r="B113" s="54"/>
      <c r="C113" s="54"/>
      <c r="D113" s="55"/>
      <c r="E113" s="54"/>
      <c r="F113" s="54"/>
      <c r="G113" s="56"/>
      <c r="H113" s="57"/>
      <c r="I113" s="57"/>
      <c r="J113" s="57"/>
      <c r="K113" s="57"/>
      <c r="L113" s="57"/>
      <c r="M113" s="57"/>
      <c r="N113" s="57"/>
      <c r="O113" s="57"/>
      <c r="P113" s="36" t="str">
        <f t="shared" si="21"/>
        <v/>
      </c>
      <c r="Q113" s="58" t="str">
        <f t="shared" si="22"/>
        <v/>
      </c>
      <c r="R113" s="59" t="str">
        <f t="shared" si="23"/>
        <v/>
      </c>
      <c r="S113" s="59" t="str">
        <f t="shared" si="24"/>
        <v/>
      </c>
      <c r="T113" s="54"/>
      <c r="U113" s="59" t="str">
        <f t="shared" si="25"/>
        <v/>
      </c>
      <c r="V113" s="59" t="str">
        <f t="shared" si="26"/>
        <v/>
      </c>
      <c r="W113" s="54"/>
      <c r="X113" s="54"/>
      <c r="Y113" s="60" t="str">
        <f t="shared" si="27"/>
        <v/>
      </c>
      <c r="Z113" s="34" t="str">
        <f>IF($A113="","",RANK(Y113,$Y$5:$Y$152)+COUNTIF($Y$5:Y113,Y113)-1)</f>
        <v/>
      </c>
    </row>
    <row r="114" spans="1:26" s="44" customFormat="1" x14ac:dyDescent="0.3">
      <c r="A114" s="54"/>
      <c r="B114" s="54"/>
      <c r="C114" s="54"/>
      <c r="D114" s="55"/>
      <c r="E114" s="54"/>
      <c r="F114" s="54"/>
      <c r="G114" s="56"/>
      <c r="H114" s="57"/>
      <c r="I114" s="57"/>
      <c r="J114" s="57"/>
      <c r="K114" s="57"/>
      <c r="L114" s="57"/>
      <c r="M114" s="57"/>
      <c r="N114" s="57"/>
      <c r="O114" s="57"/>
      <c r="P114" s="36" t="str">
        <f t="shared" si="21"/>
        <v/>
      </c>
      <c r="Q114" s="58" t="str">
        <f t="shared" si="22"/>
        <v/>
      </c>
      <c r="R114" s="59" t="str">
        <f t="shared" si="23"/>
        <v/>
      </c>
      <c r="S114" s="59" t="str">
        <f t="shared" si="24"/>
        <v/>
      </c>
      <c r="T114" s="54"/>
      <c r="U114" s="59" t="str">
        <f t="shared" si="25"/>
        <v/>
      </c>
      <c r="V114" s="59" t="str">
        <f t="shared" si="26"/>
        <v/>
      </c>
      <c r="W114" s="54"/>
      <c r="X114" s="54"/>
      <c r="Y114" s="60" t="str">
        <f t="shared" si="27"/>
        <v/>
      </c>
      <c r="Z114" s="34" t="str">
        <f>IF($A114="","",RANK(Y114,$Y$5:$Y$152)+COUNTIF($Y$5:Y114,Y114)-1)</f>
        <v/>
      </c>
    </row>
    <row r="115" spans="1:26" s="44" customFormat="1" x14ac:dyDescent="0.3">
      <c r="A115" s="54"/>
      <c r="B115" s="54"/>
      <c r="C115" s="54"/>
      <c r="D115" s="55"/>
      <c r="E115" s="54"/>
      <c r="F115" s="54"/>
      <c r="G115" s="56"/>
      <c r="H115" s="57"/>
      <c r="I115" s="57"/>
      <c r="J115" s="57"/>
      <c r="K115" s="57"/>
      <c r="L115" s="57"/>
      <c r="M115" s="57"/>
      <c r="N115" s="57"/>
      <c r="O115" s="57"/>
      <c r="P115" s="36" t="str">
        <f t="shared" si="21"/>
        <v/>
      </c>
      <c r="Q115" s="58" t="str">
        <f t="shared" si="22"/>
        <v/>
      </c>
      <c r="R115" s="59" t="str">
        <f t="shared" si="23"/>
        <v/>
      </c>
      <c r="S115" s="59" t="str">
        <f t="shared" si="24"/>
        <v/>
      </c>
      <c r="T115" s="54"/>
      <c r="U115" s="59" t="str">
        <f t="shared" si="25"/>
        <v/>
      </c>
      <c r="V115" s="59" t="str">
        <f t="shared" si="26"/>
        <v/>
      </c>
      <c r="W115" s="54"/>
      <c r="X115" s="54"/>
      <c r="Y115" s="60" t="str">
        <f t="shared" si="27"/>
        <v/>
      </c>
      <c r="Z115" s="34" t="str">
        <f>IF($A115="","",RANK(Y115,$Y$5:$Y$152)+COUNTIF($Y$5:Y115,Y115)-1)</f>
        <v/>
      </c>
    </row>
    <row r="116" spans="1:26" s="44" customFormat="1" x14ac:dyDescent="0.3">
      <c r="A116" s="54"/>
      <c r="B116" s="54"/>
      <c r="C116" s="54"/>
      <c r="D116" s="55"/>
      <c r="E116" s="54"/>
      <c r="F116" s="54"/>
      <c r="G116" s="56"/>
      <c r="H116" s="57"/>
      <c r="I116" s="57"/>
      <c r="J116" s="57"/>
      <c r="K116" s="57"/>
      <c r="L116" s="57"/>
      <c r="M116" s="57"/>
      <c r="N116" s="57"/>
      <c r="O116" s="57"/>
      <c r="P116" s="36" t="str">
        <f t="shared" si="21"/>
        <v/>
      </c>
      <c r="Q116" s="58" t="str">
        <f t="shared" si="22"/>
        <v/>
      </c>
      <c r="R116" s="59" t="str">
        <f t="shared" si="23"/>
        <v/>
      </c>
      <c r="S116" s="59" t="str">
        <f t="shared" si="24"/>
        <v/>
      </c>
      <c r="T116" s="54"/>
      <c r="U116" s="59" t="str">
        <f t="shared" si="25"/>
        <v/>
      </c>
      <c r="V116" s="59" t="str">
        <f t="shared" si="26"/>
        <v/>
      </c>
      <c r="W116" s="54"/>
      <c r="X116" s="54"/>
      <c r="Y116" s="60" t="str">
        <f t="shared" si="27"/>
        <v/>
      </c>
      <c r="Z116" s="34" t="str">
        <f>IF($A116="","",RANK(Y116,$Y$5:$Y$152)+COUNTIF($Y$5:Y116,Y116)-1)</f>
        <v/>
      </c>
    </row>
    <row r="117" spans="1:26" s="44" customFormat="1" x14ac:dyDescent="0.3">
      <c r="A117" s="54"/>
      <c r="B117" s="54"/>
      <c r="C117" s="54"/>
      <c r="D117" s="55"/>
      <c r="E117" s="54"/>
      <c r="F117" s="54"/>
      <c r="G117" s="56"/>
      <c r="H117" s="57"/>
      <c r="I117" s="57"/>
      <c r="J117" s="57"/>
      <c r="K117" s="57"/>
      <c r="L117" s="57"/>
      <c r="M117" s="57"/>
      <c r="N117" s="57"/>
      <c r="O117" s="57"/>
      <c r="P117" s="36" t="str">
        <f t="shared" si="21"/>
        <v/>
      </c>
      <c r="Q117" s="58" t="str">
        <f t="shared" si="22"/>
        <v/>
      </c>
      <c r="R117" s="59" t="str">
        <f t="shared" si="23"/>
        <v/>
      </c>
      <c r="S117" s="59" t="str">
        <f t="shared" si="24"/>
        <v/>
      </c>
      <c r="T117" s="54"/>
      <c r="U117" s="59" t="str">
        <f t="shared" si="25"/>
        <v/>
      </c>
      <c r="V117" s="59" t="str">
        <f t="shared" si="26"/>
        <v/>
      </c>
      <c r="W117" s="54"/>
      <c r="X117" s="54"/>
      <c r="Y117" s="60" t="str">
        <f t="shared" si="27"/>
        <v/>
      </c>
      <c r="Z117" s="34" t="str">
        <f>IF($A117="","",RANK(Y117,$Y$5:$Y$152)+COUNTIF($Y$5:Y117,Y117)-1)</f>
        <v/>
      </c>
    </row>
    <row r="118" spans="1:26" s="44" customFormat="1" x14ac:dyDescent="0.3">
      <c r="A118" s="54"/>
      <c r="B118" s="54"/>
      <c r="C118" s="54"/>
      <c r="D118" s="55"/>
      <c r="E118" s="54"/>
      <c r="F118" s="54"/>
      <c r="G118" s="56"/>
      <c r="H118" s="57"/>
      <c r="I118" s="57"/>
      <c r="J118" s="57"/>
      <c r="K118" s="57"/>
      <c r="L118" s="57"/>
      <c r="M118" s="57"/>
      <c r="N118" s="57"/>
      <c r="O118" s="57"/>
      <c r="P118" s="36" t="str">
        <f t="shared" si="21"/>
        <v/>
      </c>
      <c r="Q118" s="58" t="str">
        <f t="shared" si="22"/>
        <v/>
      </c>
      <c r="R118" s="59" t="str">
        <f t="shared" si="23"/>
        <v/>
      </c>
      <c r="S118" s="59" t="str">
        <f t="shared" si="24"/>
        <v/>
      </c>
      <c r="T118" s="54"/>
      <c r="U118" s="59" t="str">
        <f t="shared" si="25"/>
        <v/>
      </c>
      <c r="V118" s="59" t="str">
        <f t="shared" si="26"/>
        <v/>
      </c>
      <c r="W118" s="54"/>
      <c r="X118" s="54"/>
      <c r="Y118" s="60" t="str">
        <f t="shared" si="27"/>
        <v/>
      </c>
      <c r="Z118" s="34" t="str">
        <f>IF($A118="","",RANK(Y118,$Y$5:$Y$152)+COUNTIF($Y$5:Y118,Y118)-1)</f>
        <v/>
      </c>
    </row>
    <row r="119" spans="1:26" s="44" customFormat="1" x14ac:dyDescent="0.3">
      <c r="A119" s="54"/>
      <c r="B119" s="54"/>
      <c r="C119" s="54"/>
      <c r="D119" s="55"/>
      <c r="E119" s="54"/>
      <c r="F119" s="54"/>
      <c r="G119" s="56"/>
      <c r="H119" s="57"/>
      <c r="I119" s="57"/>
      <c r="J119" s="57"/>
      <c r="K119" s="57"/>
      <c r="L119" s="57"/>
      <c r="M119" s="57"/>
      <c r="N119" s="57"/>
      <c r="O119" s="57"/>
      <c r="P119" s="36" t="str">
        <f t="shared" si="21"/>
        <v/>
      </c>
      <c r="Q119" s="58" t="str">
        <f t="shared" si="22"/>
        <v/>
      </c>
      <c r="R119" s="59" t="str">
        <f t="shared" si="23"/>
        <v/>
      </c>
      <c r="S119" s="59" t="str">
        <f t="shared" si="24"/>
        <v/>
      </c>
      <c r="T119" s="54"/>
      <c r="U119" s="59" t="str">
        <f t="shared" si="25"/>
        <v/>
      </c>
      <c r="V119" s="59" t="str">
        <f t="shared" si="26"/>
        <v/>
      </c>
      <c r="W119" s="54"/>
      <c r="X119" s="54"/>
      <c r="Y119" s="60" t="str">
        <f t="shared" si="27"/>
        <v/>
      </c>
      <c r="Z119" s="34" t="str">
        <f>IF($A119="","",RANK(Y119,$Y$5:$Y$152)+COUNTIF($Y$5:Y119,Y119)-1)</f>
        <v/>
      </c>
    </row>
    <row r="120" spans="1:26" s="44" customFormat="1" x14ac:dyDescent="0.3">
      <c r="A120" s="54"/>
      <c r="B120" s="54"/>
      <c r="C120" s="54"/>
      <c r="D120" s="55"/>
      <c r="E120" s="54"/>
      <c r="F120" s="54"/>
      <c r="G120" s="56"/>
      <c r="H120" s="57"/>
      <c r="I120" s="57"/>
      <c r="J120" s="57"/>
      <c r="K120" s="57"/>
      <c r="L120" s="57"/>
      <c r="M120" s="57"/>
      <c r="N120" s="57"/>
      <c r="O120" s="57"/>
      <c r="P120" s="36" t="str">
        <f t="shared" si="21"/>
        <v/>
      </c>
      <c r="Q120" s="58" t="str">
        <f t="shared" si="22"/>
        <v/>
      </c>
      <c r="R120" s="59" t="str">
        <f t="shared" si="23"/>
        <v/>
      </c>
      <c r="S120" s="59" t="str">
        <f t="shared" si="24"/>
        <v/>
      </c>
      <c r="T120" s="54"/>
      <c r="U120" s="59" t="str">
        <f t="shared" si="25"/>
        <v/>
      </c>
      <c r="V120" s="59" t="str">
        <f t="shared" si="26"/>
        <v/>
      </c>
      <c r="W120" s="54"/>
      <c r="X120" s="54"/>
      <c r="Y120" s="60" t="str">
        <f t="shared" si="27"/>
        <v/>
      </c>
      <c r="Z120" s="34" t="str">
        <f>IF($A120="","",RANK(Y120,$Y$5:$Y$152)+COUNTIF($Y$5:Y120,Y120)-1)</f>
        <v/>
      </c>
    </row>
    <row r="121" spans="1:26" s="44" customFormat="1" x14ac:dyDescent="0.3">
      <c r="A121" s="54"/>
      <c r="B121" s="54"/>
      <c r="C121" s="54"/>
      <c r="D121" s="55"/>
      <c r="E121" s="54"/>
      <c r="F121" s="54"/>
      <c r="G121" s="56"/>
      <c r="H121" s="57"/>
      <c r="I121" s="57"/>
      <c r="J121" s="57"/>
      <c r="K121" s="57"/>
      <c r="L121" s="57"/>
      <c r="M121" s="57"/>
      <c r="N121" s="57"/>
      <c r="O121" s="57"/>
      <c r="P121" s="36" t="str">
        <f t="shared" si="21"/>
        <v/>
      </c>
      <c r="Q121" s="58" t="str">
        <f t="shared" si="22"/>
        <v/>
      </c>
      <c r="R121" s="59" t="str">
        <f t="shared" si="23"/>
        <v/>
      </c>
      <c r="S121" s="59" t="str">
        <f t="shared" si="24"/>
        <v/>
      </c>
      <c r="T121" s="54"/>
      <c r="U121" s="59" t="str">
        <f t="shared" si="25"/>
        <v/>
      </c>
      <c r="V121" s="59" t="str">
        <f t="shared" si="26"/>
        <v/>
      </c>
      <c r="W121" s="54"/>
      <c r="X121" s="54"/>
      <c r="Y121" s="60" t="str">
        <f t="shared" si="27"/>
        <v/>
      </c>
      <c r="Z121" s="34" t="str">
        <f>IF($A121="","",RANK(Y121,$Y$5:$Y$152)+COUNTIF($Y$5:Y121,Y121)-1)</f>
        <v/>
      </c>
    </row>
    <row r="122" spans="1:26" s="44" customFormat="1" x14ac:dyDescent="0.3">
      <c r="A122" s="54"/>
      <c r="B122" s="54"/>
      <c r="C122" s="54"/>
      <c r="D122" s="55"/>
      <c r="E122" s="54"/>
      <c r="F122" s="54"/>
      <c r="G122" s="56"/>
      <c r="H122" s="57"/>
      <c r="I122" s="57"/>
      <c r="J122" s="57"/>
      <c r="K122" s="57"/>
      <c r="L122" s="57"/>
      <c r="M122" s="57"/>
      <c r="N122" s="57"/>
      <c r="O122" s="57"/>
      <c r="P122" s="36" t="str">
        <f t="shared" si="21"/>
        <v/>
      </c>
      <c r="Q122" s="58" t="str">
        <f t="shared" si="22"/>
        <v/>
      </c>
      <c r="R122" s="59" t="str">
        <f t="shared" si="23"/>
        <v/>
      </c>
      <c r="S122" s="59" t="str">
        <f t="shared" si="24"/>
        <v/>
      </c>
      <c r="T122" s="54"/>
      <c r="U122" s="59" t="str">
        <f t="shared" si="25"/>
        <v/>
      </c>
      <c r="V122" s="59" t="str">
        <f t="shared" si="26"/>
        <v/>
      </c>
      <c r="W122" s="54"/>
      <c r="X122" s="54"/>
      <c r="Y122" s="60" t="str">
        <f t="shared" si="27"/>
        <v/>
      </c>
      <c r="Z122" s="34" t="str">
        <f>IF($A122="","",RANK(Y122,$Y$5:$Y$152)+COUNTIF($Y$5:Y122,Y122)-1)</f>
        <v/>
      </c>
    </row>
    <row r="123" spans="1:26" s="44" customFormat="1" x14ac:dyDescent="0.3">
      <c r="A123" s="54"/>
      <c r="B123" s="54"/>
      <c r="C123" s="54"/>
      <c r="D123" s="55"/>
      <c r="E123" s="54"/>
      <c r="F123" s="54"/>
      <c r="G123" s="56"/>
      <c r="H123" s="57"/>
      <c r="I123" s="57"/>
      <c r="J123" s="57"/>
      <c r="K123" s="57"/>
      <c r="L123" s="57"/>
      <c r="M123" s="57"/>
      <c r="N123" s="57"/>
      <c r="O123" s="57"/>
      <c r="P123" s="36" t="str">
        <f t="shared" si="21"/>
        <v/>
      </c>
      <c r="Q123" s="58" t="str">
        <f t="shared" si="22"/>
        <v/>
      </c>
      <c r="R123" s="59" t="str">
        <f t="shared" si="23"/>
        <v/>
      </c>
      <c r="S123" s="59" t="str">
        <f t="shared" si="24"/>
        <v/>
      </c>
      <c r="T123" s="54"/>
      <c r="U123" s="59" t="str">
        <f t="shared" si="25"/>
        <v/>
      </c>
      <c r="V123" s="59" t="str">
        <f t="shared" si="26"/>
        <v/>
      </c>
      <c r="W123" s="54"/>
      <c r="X123" s="54"/>
      <c r="Y123" s="60" t="str">
        <f t="shared" si="27"/>
        <v/>
      </c>
      <c r="Z123" s="34" t="str">
        <f>IF($A123="","",RANK(Y123,$Y$5:$Y$152)+COUNTIF($Y$5:Y123,Y123)-1)</f>
        <v/>
      </c>
    </row>
    <row r="124" spans="1:26" s="44" customFormat="1" x14ac:dyDescent="0.3">
      <c r="A124" s="54"/>
      <c r="B124" s="54"/>
      <c r="C124" s="54"/>
      <c r="D124" s="55"/>
      <c r="E124" s="54"/>
      <c r="F124" s="54"/>
      <c r="G124" s="56"/>
      <c r="H124" s="57"/>
      <c r="I124" s="57"/>
      <c r="J124" s="57"/>
      <c r="K124" s="57"/>
      <c r="L124" s="57"/>
      <c r="M124" s="57"/>
      <c r="N124" s="57"/>
      <c r="O124" s="57"/>
      <c r="P124" s="36" t="str">
        <f t="shared" si="21"/>
        <v/>
      </c>
      <c r="Q124" s="58" t="str">
        <f t="shared" si="22"/>
        <v/>
      </c>
      <c r="R124" s="59" t="str">
        <f t="shared" si="23"/>
        <v/>
      </c>
      <c r="S124" s="59" t="str">
        <f t="shared" si="24"/>
        <v/>
      </c>
      <c r="T124" s="54"/>
      <c r="U124" s="59" t="str">
        <f t="shared" si="25"/>
        <v/>
      </c>
      <c r="V124" s="59" t="str">
        <f t="shared" si="26"/>
        <v/>
      </c>
      <c r="W124" s="54"/>
      <c r="X124" s="54"/>
      <c r="Y124" s="60" t="str">
        <f t="shared" si="27"/>
        <v/>
      </c>
      <c r="Z124" s="34" t="str">
        <f>IF($A124="","",RANK(Y124,$Y$5:$Y$152)+COUNTIF($Y$5:Y124,Y124)-1)</f>
        <v/>
      </c>
    </row>
    <row r="125" spans="1:26" s="44" customFormat="1" x14ac:dyDescent="0.3">
      <c r="A125" s="54"/>
      <c r="B125" s="54"/>
      <c r="C125" s="54"/>
      <c r="D125" s="55"/>
      <c r="E125" s="54"/>
      <c r="F125" s="54"/>
      <c r="G125" s="56"/>
      <c r="H125" s="57"/>
      <c r="I125" s="57"/>
      <c r="J125" s="57"/>
      <c r="K125" s="57"/>
      <c r="L125" s="57"/>
      <c r="M125" s="57"/>
      <c r="N125" s="57"/>
      <c r="O125" s="57"/>
      <c r="P125" s="36" t="str">
        <f t="shared" si="21"/>
        <v/>
      </c>
      <c r="Q125" s="58" t="str">
        <f t="shared" si="22"/>
        <v/>
      </c>
      <c r="R125" s="59" t="str">
        <f t="shared" si="23"/>
        <v/>
      </c>
      <c r="S125" s="59" t="str">
        <f t="shared" si="24"/>
        <v/>
      </c>
      <c r="T125" s="54"/>
      <c r="U125" s="59" t="str">
        <f t="shared" si="25"/>
        <v/>
      </c>
      <c r="V125" s="59" t="str">
        <f t="shared" si="26"/>
        <v/>
      </c>
      <c r="W125" s="54"/>
      <c r="X125" s="54"/>
      <c r="Y125" s="60" t="str">
        <f t="shared" si="27"/>
        <v/>
      </c>
      <c r="Z125" s="34" t="str">
        <f>IF($A125="","",RANK(Y125,$Y$5:$Y$152)+COUNTIF($Y$5:Y125,Y125)-1)</f>
        <v/>
      </c>
    </row>
    <row r="126" spans="1:26" s="44" customFormat="1" x14ac:dyDescent="0.3">
      <c r="A126" s="54"/>
      <c r="B126" s="54"/>
      <c r="C126" s="54"/>
      <c r="D126" s="55"/>
      <c r="E126" s="54"/>
      <c r="F126" s="54"/>
      <c r="G126" s="56"/>
      <c r="H126" s="57"/>
      <c r="I126" s="57"/>
      <c r="J126" s="57"/>
      <c r="K126" s="57"/>
      <c r="L126" s="57"/>
      <c r="M126" s="57"/>
      <c r="N126" s="57"/>
      <c r="O126" s="57"/>
      <c r="P126" s="36" t="str">
        <f t="shared" si="21"/>
        <v/>
      </c>
      <c r="Q126" s="58" t="str">
        <f t="shared" si="22"/>
        <v/>
      </c>
      <c r="R126" s="59" t="str">
        <f t="shared" si="23"/>
        <v/>
      </c>
      <c r="S126" s="59" t="str">
        <f t="shared" si="24"/>
        <v/>
      </c>
      <c r="T126" s="54"/>
      <c r="U126" s="59" t="str">
        <f t="shared" si="25"/>
        <v/>
      </c>
      <c r="V126" s="59" t="str">
        <f t="shared" si="26"/>
        <v/>
      </c>
      <c r="W126" s="54"/>
      <c r="X126" s="54"/>
      <c r="Y126" s="60" t="str">
        <f t="shared" si="27"/>
        <v/>
      </c>
      <c r="Z126" s="34" t="str">
        <f>IF($A126="","",RANK(Y126,$Y$5:$Y$152)+COUNTIF($Y$5:Y126,Y126)-1)</f>
        <v/>
      </c>
    </row>
    <row r="127" spans="1:26" s="44" customFormat="1" x14ac:dyDescent="0.3">
      <c r="A127" s="54"/>
      <c r="B127" s="54"/>
      <c r="C127" s="54"/>
      <c r="D127" s="55"/>
      <c r="E127" s="54"/>
      <c r="F127" s="54"/>
      <c r="G127" s="56"/>
      <c r="H127" s="57"/>
      <c r="I127" s="57"/>
      <c r="J127" s="57"/>
      <c r="K127" s="57"/>
      <c r="L127" s="57"/>
      <c r="M127" s="57"/>
      <c r="N127" s="57"/>
      <c r="O127" s="57"/>
      <c r="P127" s="36" t="str">
        <f t="shared" si="21"/>
        <v/>
      </c>
      <c r="Q127" s="58" t="str">
        <f t="shared" si="22"/>
        <v/>
      </c>
      <c r="R127" s="59" t="str">
        <f t="shared" si="23"/>
        <v/>
      </c>
      <c r="S127" s="59" t="str">
        <f t="shared" si="24"/>
        <v/>
      </c>
      <c r="T127" s="54"/>
      <c r="U127" s="59" t="str">
        <f t="shared" si="25"/>
        <v/>
      </c>
      <c r="V127" s="59" t="str">
        <f t="shared" si="26"/>
        <v/>
      </c>
      <c r="W127" s="54"/>
      <c r="X127" s="54"/>
      <c r="Y127" s="60" t="str">
        <f t="shared" si="27"/>
        <v/>
      </c>
      <c r="Z127" s="34" t="str">
        <f>IF($A127="","",RANK(Y127,$Y$5:$Y$152)+COUNTIF($Y$5:Y127,Y127)-1)</f>
        <v/>
      </c>
    </row>
    <row r="128" spans="1:26" s="44" customFormat="1" x14ac:dyDescent="0.3">
      <c r="A128" s="54"/>
      <c r="B128" s="54"/>
      <c r="C128" s="54"/>
      <c r="D128" s="55"/>
      <c r="E128" s="54"/>
      <c r="F128" s="54"/>
      <c r="G128" s="56"/>
      <c r="H128" s="57"/>
      <c r="I128" s="57"/>
      <c r="J128" s="57"/>
      <c r="K128" s="57"/>
      <c r="L128" s="57"/>
      <c r="M128" s="57"/>
      <c r="N128" s="57"/>
      <c r="O128" s="57"/>
      <c r="P128" s="36" t="str">
        <f t="shared" si="21"/>
        <v/>
      </c>
      <c r="Q128" s="58" t="str">
        <f t="shared" si="22"/>
        <v/>
      </c>
      <c r="R128" s="59" t="str">
        <f t="shared" si="23"/>
        <v/>
      </c>
      <c r="S128" s="59" t="str">
        <f t="shared" si="24"/>
        <v/>
      </c>
      <c r="T128" s="54"/>
      <c r="U128" s="59" t="str">
        <f t="shared" si="25"/>
        <v/>
      </c>
      <c r="V128" s="59" t="str">
        <f t="shared" si="26"/>
        <v/>
      </c>
      <c r="W128" s="54"/>
      <c r="X128" s="54"/>
      <c r="Y128" s="60" t="str">
        <f t="shared" si="27"/>
        <v/>
      </c>
      <c r="Z128" s="34" t="str">
        <f>IF($A128="","",RANK(Y128,$Y$5:$Y$152)+COUNTIF($Y$5:Y128,Y128)-1)</f>
        <v/>
      </c>
    </row>
    <row r="129" spans="1:26" s="44" customFormat="1" x14ac:dyDescent="0.3">
      <c r="A129" s="54"/>
      <c r="B129" s="54"/>
      <c r="C129" s="54"/>
      <c r="D129" s="55"/>
      <c r="E129" s="54"/>
      <c r="F129" s="54"/>
      <c r="G129" s="56"/>
      <c r="H129" s="57"/>
      <c r="I129" s="57"/>
      <c r="J129" s="57"/>
      <c r="K129" s="57"/>
      <c r="L129" s="57"/>
      <c r="M129" s="57"/>
      <c r="N129" s="57"/>
      <c r="O129" s="57"/>
      <c r="P129" s="36" t="str">
        <f t="shared" si="21"/>
        <v/>
      </c>
      <c r="Q129" s="58" t="str">
        <f t="shared" si="22"/>
        <v/>
      </c>
      <c r="R129" s="59" t="str">
        <f t="shared" si="23"/>
        <v/>
      </c>
      <c r="S129" s="59" t="str">
        <f t="shared" si="24"/>
        <v/>
      </c>
      <c r="T129" s="54"/>
      <c r="U129" s="59" t="str">
        <f t="shared" si="25"/>
        <v/>
      </c>
      <c r="V129" s="59" t="str">
        <f t="shared" si="26"/>
        <v/>
      </c>
      <c r="W129" s="54"/>
      <c r="X129" s="54"/>
      <c r="Y129" s="60" t="str">
        <f t="shared" si="27"/>
        <v/>
      </c>
      <c r="Z129" s="34" t="str">
        <f>IF($A129="","",RANK(Y129,$Y$5:$Y$152)+COUNTIF($Y$5:Y129,Y129)-1)</f>
        <v/>
      </c>
    </row>
    <row r="130" spans="1:26" s="44" customFormat="1" x14ac:dyDescent="0.3">
      <c r="A130" s="54"/>
      <c r="B130" s="54"/>
      <c r="C130" s="54"/>
      <c r="D130" s="55"/>
      <c r="E130" s="54"/>
      <c r="F130" s="54"/>
      <c r="G130" s="56"/>
      <c r="H130" s="57"/>
      <c r="I130" s="57"/>
      <c r="J130" s="57"/>
      <c r="K130" s="57"/>
      <c r="L130" s="57"/>
      <c r="M130" s="57"/>
      <c r="N130" s="57"/>
      <c r="O130" s="57"/>
      <c r="P130" s="36" t="str">
        <f t="shared" si="21"/>
        <v/>
      </c>
      <c r="Q130" s="58" t="str">
        <f t="shared" si="22"/>
        <v/>
      </c>
      <c r="R130" s="59" t="str">
        <f t="shared" si="23"/>
        <v/>
      </c>
      <c r="S130" s="59" t="str">
        <f t="shared" si="24"/>
        <v/>
      </c>
      <c r="T130" s="54"/>
      <c r="U130" s="59" t="str">
        <f t="shared" si="25"/>
        <v/>
      </c>
      <c r="V130" s="59" t="str">
        <f t="shared" si="26"/>
        <v/>
      </c>
      <c r="W130" s="54"/>
      <c r="X130" s="54"/>
      <c r="Y130" s="60" t="str">
        <f t="shared" si="27"/>
        <v/>
      </c>
      <c r="Z130" s="34" t="str">
        <f>IF($A130="","",RANK(Y130,$Y$5:$Y$152)+COUNTIF($Y$5:Y130,Y130)-1)</f>
        <v/>
      </c>
    </row>
    <row r="131" spans="1:26" s="44" customFormat="1" x14ac:dyDescent="0.3">
      <c r="A131" s="54"/>
      <c r="B131" s="54"/>
      <c r="C131" s="54"/>
      <c r="D131" s="55"/>
      <c r="E131" s="54"/>
      <c r="F131" s="54"/>
      <c r="G131" s="56"/>
      <c r="H131" s="57"/>
      <c r="I131" s="57"/>
      <c r="J131" s="57"/>
      <c r="K131" s="57"/>
      <c r="L131" s="57"/>
      <c r="M131" s="57"/>
      <c r="N131" s="57"/>
      <c r="O131" s="57"/>
      <c r="P131" s="36" t="str">
        <f t="shared" ref="P131:P152" si="28">IF($A131="","",SUM(H131:O131))</f>
        <v/>
      </c>
      <c r="Q131" s="58" t="str">
        <f t="shared" ref="Q131:Q152" si="29">IF($A131="","",P131/100)</f>
        <v/>
      </c>
      <c r="R131" s="59" t="str">
        <f t="shared" ref="R131:R152" si="30">IF($A131="","",INDEX(ParamRangoNivel,MATCH(P131,ParamRangoDesde,1)))</f>
        <v/>
      </c>
      <c r="S131" s="59" t="str">
        <f t="shared" ref="S131:S152" si="31">IF($A131="","",IF(T131="Sí","PRIORIDAD 1",INDEX(ParamPrioNombre,MATCH(P131,ParamPrioDesde,1))))</f>
        <v/>
      </c>
      <c r="T131" s="54"/>
      <c r="U131" s="59" t="str">
        <f t="shared" ref="U131:U152" si="32">IF($A131="","",IF(K131="","",IF(K131/20*100&gt;=60,"ALTA",IF(K131/20*100&gt;=30,"MEDIA","BAJA"))))</f>
        <v/>
      </c>
      <c r="V131" s="59" t="str">
        <f t="shared" ref="V131:V152" si="33">IF($A131="","",INDEX(ParamRangoSemaforo,MATCH(P131,ParamRangoDesde,1)))</f>
        <v/>
      </c>
      <c r="W131" s="54"/>
      <c r="X131" s="54"/>
      <c r="Y131" s="60" t="str">
        <f t="shared" ref="Y131:Y152" si="34">IF($A131="","",(IF(S131="PRIORIDAD 1",3,IF(S131="PRIORIDAD 2",2,1)))*100000+IF(T131="Sí",1000,0)+P131)</f>
        <v/>
      </c>
      <c r="Z131" s="34" t="str">
        <f>IF($A131="","",RANK(Y131,$Y$5:$Y$152)+COUNTIF($Y$5:Y131,Y131)-1)</f>
        <v/>
      </c>
    </row>
    <row r="132" spans="1:26" s="44" customFormat="1" x14ac:dyDescent="0.3">
      <c r="A132" s="54"/>
      <c r="B132" s="54"/>
      <c r="C132" s="54"/>
      <c r="D132" s="55"/>
      <c r="E132" s="54"/>
      <c r="F132" s="54"/>
      <c r="G132" s="56"/>
      <c r="H132" s="57"/>
      <c r="I132" s="57"/>
      <c r="J132" s="57"/>
      <c r="K132" s="57"/>
      <c r="L132" s="57"/>
      <c r="M132" s="57"/>
      <c r="N132" s="57"/>
      <c r="O132" s="57"/>
      <c r="P132" s="36" t="str">
        <f t="shared" si="28"/>
        <v/>
      </c>
      <c r="Q132" s="58" t="str">
        <f t="shared" si="29"/>
        <v/>
      </c>
      <c r="R132" s="59" t="str">
        <f t="shared" si="30"/>
        <v/>
      </c>
      <c r="S132" s="59" t="str">
        <f t="shared" si="31"/>
        <v/>
      </c>
      <c r="T132" s="54"/>
      <c r="U132" s="59" t="str">
        <f t="shared" si="32"/>
        <v/>
      </c>
      <c r="V132" s="59" t="str">
        <f t="shared" si="33"/>
        <v/>
      </c>
      <c r="W132" s="54"/>
      <c r="X132" s="54"/>
      <c r="Y132" s="60" t="str">
        <f t="shared" si="34"/>
        <v/>
      </c>
      <c r="Z132" s="34" t="str">
        <f>IF($A132="","",RANK(Y132,$Y$5:$Y$152)+COUNTIF($Y$5:Y132,Y132)-1)</f>
        <v/>
      </c>
    </row>
    <row r="133" spans="1:26" s="44" customFormat="1" x14ac:dyDescent="0.3">
      <c r="A133" s="54"/>
      <c r="B133" s="54"/>
      <c r="C133" s="54"/>
      <c r="D133" s="55"/>
      <c r="E133" s="54"/>
      <c r="F133" s="54"/>
      <c r="G133" s="56"/>
      <c r="H133" s="57"/>
      <c r="I133" s="57"/>
      <c r="J133" s="57"/>
      <c r="K133" s="57"/>
      <c r="L133" s="57"/>
      <c r="M133" s="57"/>
      <c r="N133" s="57"/>
      <c r="O133" s="57"/>
      <c r="P133" s="36" t="str">
        <f t="shared" si="28"/>
        <v/>
      </c>
      <c r="Q133" s="58" t="str">
        <f t="shared" si="29"/>
        <v/>
      </c>
      <c r="R133" s="59" t="str">
        <f t="shared" si="30"/>
        <v/>
      </c>
      <c r="S133" s="59" t="str">
        <f t="shared" si="31"/>
        <v/>
      </c>
      <c r="T133" s="54"/>
      <c r="U133" s="59" t="str">
        <f t="shared" si="32"/>
        <v/>
      </c>
      <c r="V133" s="59" t="str">
        <f t="shared" si="33"/>
        <v/>
      </c>
      <c r="W133" s="54"/>
      <c r="X133" s="54"/>
      <c r="Y133" s="60" t="str">
        <f t="shared" si="34"/>
        <v/>
      </c>
      <c r="Z133" s="34" t="str">
        <f>IF($A133="","",RANK(Y133,$Y$5:$Y$152)+COUNTIF($Y$5:Y133,Y133)-1)</f>
        <v/>
      </c>
    </row>
    <row r="134" spans="1:26" s="44" customFormat="1" x14ac:dyDescent="0.3">
      <c r="A134" s="54"/>
      <c r="B134" s="54"/>
      <c r="C134" s="54"/>
      <c r="D134" s="55"/>
      <c r="E134" s="54"/>
      <c r="F134" s="54"/>
      <c r="G134" s="56"/>
      <c r="H134" s="57"/>
      <c r="I134" s="57"/>
      <c r="J134" s="57"/>
      <c r="K134" s="57"/>
      <c r="L134" s="57"/>
      <c r="M134" s="57"/>
      <c r="N134" s="57"/>
      <c r="O134" s="57"/>
      <c r="P134" s="36" t="str">
        <f t="shared" si="28"/>
        <v/>
      </c>
      <c r="Q134" s="58" t="str">
        <f t="shared" si="29"/>
        <v/>
      </c>
      <c r="R134" s="59" t="str">
        <f t="shared" si="30"/>
        <v/>
      </c>
      <c r="S134" s="59" t="str">
        <f t="shared" si="31"/>
        <v/>
      </c>
      <c r="T134" s="54"/>
      <c r="U134" s="59" t="str">
        <f t="shared" si="32"/>
        <v/>
      </c>
      <c r="V134" s="59" t="str">
        <f t="shared" si="33"/>
        <v/>
      </c>
      <c r="W134" s="54"/>
      <c r="X134" s="54"/>
      <c r="Y134" s="60" t="str">
        <f t="shared" si="34"/>
        <v/>
      </c>
      <c r="Z134" s="34" t="str">
        <f>IF($A134="","",RANK(Y134,$Y$5:$Y$152)+COUNTIF($Y$5:Y134,Y134)-1)</f>
        <v/>
      </c>
    </row>
    <row r="135" spans="1:26" s="44" customFormat="1" x14ac:dyDescent="0.3">
      <c r="A135" s="54"/>
      <c r="B135" s="54"/>
      <c r="C135" s="54"/>
      <c r="D135" s="55"/>
      <c r="E135" s="54"/>
      <c r="F135" s="54"/>
      <c r="G135" s="56"/>
      <c r="H135" s="57"/>
      <c r="I135" s="57"/>
      <c r="J135" s="57"/>
      <c r="K135" s="57"/>
      <c r="L135" s="57"/>
      <c r="M135" s="57"/>
      <c r="N135" s="57"/>
      <c r="O135" s="57"/>
      <c r="P135" s="36" t="str">
        <f t="shared" si="28"/>
        <v/>
      </c>
      <c r="Q135" s="58" t="str">
        <f t="shared" si="29"/>
        <v/>
      </c>
      <c r="R135" s="59" t="str">
        <f t="shared" si="30"/>
        <v/>
      </c>
      <c r="S135" s="59" t="str">
        <f t="shared" si="31"/>
        <v/>
      </c>
      <c r="T135" s="54"/>
      <c r="U135" s="59" t="str">
        <f t="shared" si="32"/>
        <v/>
      </c>
      <c r="V135" s="59" t="str">
        <f t="shared" si="33"/>
        <v/>
      </c>
      <c r="W135" s="54"/>
      <c r="X135" s="54"/>
      <c r="Y135" s="60" t="str">
        <f t="shared" si="34"/>
        <v/>
      </c>
      <c r="Z135" s="34" t="str">
        <f>IF($A135="","",RANK(Y135,$Y$5:$Y$152)+COUNTIF($Y$5:Y135,Y135)-1)</f>
        <v/>
      </c>
    </row>
    <row r="136" spans="1:26" s="44" customFormat="1" x14ac:dyDescent="0.3">
      <c r="A136" s="54"/>
      <c r="B136" s="54"/>
      <c r="C136" s="54"/>
      <c r="D136" s="55"/>
      <c r="E136" s="54"/>
      <c r="F136" s="54"/>
      <c r="G136" s="56"/>
      <c r="H136" s="57"/>
      <c r="I136" s="57"/>
      <c r="J136" s="57"/>
      <c r="K136" s="57"/>
      <c r="L136" s="57"/>
      <c r="M136" s="57"/>
      <c r="N136" s="57"/>
      <c r="O136" s="57"/>
      <c r="P136" s="36" t="str">
        <f t="shared" si="28"/>
        <v/>
      </c>
      <c r="Q136" s="58" t="str">
        <f t="shared" si="29"/>
        <v/>
      </c>
      <c r="R136" s="59" t="str">
        <f t="shared" si="30"/>
        <v/>
      </c>
      <c r="S136" s="59" t="str">
        <f t="shared" si="31"/>
        <v/>
      </c>
      <c r="T136" s="54"/>
      <c r="U136" s="59" t="str">
        <f t="shared" si="32"/>
        <v/>
      </c>
      <c r="V136" s="59" t="str">
        <f t="shared" si="33"/>
        <v/>
      </c>
      <c r="W136" s="54"/>
      <c r="X136" s="54"/>
      <c r="Y136" s="60" t="str">
        <f t="shared" si="34"/>
        <v/>
      </c>
      <c r="Z136" s="34" t="str">
        <f>IF($A136="","",RANK(Y136,$Y$5:$Y$152)+COUNTIF($Y$5:Y136,Y136)-1)</f>
        <v/>
      </c>
    </row>
    <row r="137" spans="1:26" s="44" customFormat="1" x14ac:dyDescent="0.3">
      <c r="A137" s="54"/>
      <c r="B137" s="54"/>
      <c r="C137" s="54"/>
      <c r="D137" s="55"/>
      <c r="E137" s="54"/>
      <c r="F137" s="54"/>
      <c r="G137" s="56"/>
      <c r="H137" s="57"/>
      <c r="I137" s="57"/>
      <c r="J137" s="57"/>
      <c r="K137" s="57"/>
      <c r="L137" s="57"/>
      <c r="M137" s="57"/>
      <c r="N137" s="57"/>
      <c r="O137" s="57"/>
      <c r="P137" s="36" t="str">
        <f t="shared" si="28"/>
        <v/>
      </c>
      <c r="Q137" s="58" t="str">
        <f t="shared" si="29"/>
        <v/>
      </c>
      <c r="R137" s="59" t="str">
        <f t="shared" si="30"/>
        <v/>
      </c>
      <c r="S137" s="59" t="str">
        <f t="shared" si="31"/>
        <v/>
      </c>
      <c r="T137" s="54"/>
      <c r="U137" s="59" t="str">
        <f t="shared" si="32"/>
        <v/>
      </c>
      <c r="V137" s="59" t="str">
        <f t="shared" si="33"/>
        <v/>
      </c>
      <c r="W137" s="54"/>
      <c r="X137" s="54"/>
      <c r="Y137" s="60" t="str">
        <f t="shared" si="34"/>
        <v/>
      </c>
      <c r="Z137" s="34" t="str">
        <f>IF($A137="","",RANK(Y137,$Y$5:$Y$152)+COUNTIF($Y$5:Y137,Y137)-1)</f>
        <v/>
      </c>
    </row>
    <row r="138" spans="1:26" s="44" customFormat="1" x14ac:dyDescent="0.3">
      <c r="A138" s="54"/>
      <c r="B138" s="54"/>
      <c r="C138" s="54"/>
      <c r="D138" s="55"/>
      <c r="E138" s="54"/>
      <c r="F138" s="54"/>
      <c r="G138" s="56"/>
      <c r="H138" s="57"/>
      <c r="I138" s="57"/>
      <c r="J138" s="57"/>
      <c r="K138" s="57"/>
      <c r="L138" s="57"/>
      <c r="M138" s="57"/>
      <c r="N138" s="57"/>
      <c r="O138" s="57"/>
      <c r="P138" s="36" t="str">
        <f t="shared" si="28"/>
        <v/>
      </c>
      <c r="Q138" s="58" t="str">
        <f t="shared" si="29"/>
        <v/>
      </c>
      <c r="R138" s="59" t="str">
        <f t="shared" si="30"/>
        <v/>
      </c>
      <c r="S138" s="59" t="str">
        <f t="shared" si="31"/>
        <v/>
      </c>
      <c r="T138" s="54"/>
      <c r="U138" s="59" t="str">
        <f t="shared" si="32"/>
        <v/>
      </c>
      <c r="V138" s="59" t="str">
        <f t="shared" si="33"/>
        <v/>
      </c>
      <c r="W138" s="54"/>
      <c r="X138" s="54"/>
      <c r="Y138" s="60" t="str">
        <f t="shared" si="34"/>
        <v/>
      </c>
      <c r="Z138" s="34" t="str">
        <f>IF($A138="","",RANK(Y138,$Y$5:$Y$152)+COUNTIF($Y$5:Y138,Y138)-1)</f>
        <v/>
      </c>
    </row>
    <row r="139" spans="1:26" s="44" customFormat="1" x14ac:dyDescent="0.3">
      <c r="A139" s="54"/>
      <c r="B139" s="54"/>
      <c r="C139" s="54"/>
      <c r="D139" s="55"/>
      <c r="E139" s="54"/>
      <c r="F139" s="54"/>
      <c r="G139" s="56"/>
      <c r="H139" s="57"/>
      <c r="I139" s="57"/>
      <c r="J139" s="57"/>
      <c r="K139" s="57"/>
      <c r="L139" s="57"/>
      <c r="M139" s="57"/>
      <c r="N139" s="57"/>
      <c r="O139" s="57"/>
      <c r="P139" s="36" t="str">
        <f t="shared" si="28"/>
        <v/>
      </c>
      <c r="Q139" s="58" t="str">
        <f t="shared" si="29"/>
        <v/>
      </c>
      <c r="R139" s="59" t="str">
        <f t="shared" si="30"/>
        <v/>
      </c>
      <c r="S139" s="59" t="str">
        <f t="shared" si="31"/>
        <v/>
      </c>
      <c r="T139" s="54"/>
      <c r="U139" s="59" t="str">
        <f t="shared" si="32"/>
        <v/>
      </c>
      <c r="V139" s="59" t="str">
        <f t="shared" si="33"/>
        <v/>
      </c>
      <c r="W139" s="54"/>
      <c r="X139" s="54"/>
      <c r="Y139" s="60" t="str">
        <f t="shared" si="34"/>
        <v/>
      </c>
      <c r="Z139" s="34" t="str">
        <f>IF($A139="","",RANK(Y139,$Y$5:$Y$152)+COUNTIF($Y$5:Y139,Y139)-1)</f>
        <v/>
      </c>
    </row>
    <row r="140" spans="1:26" s="44" customFormat="1" x14ac:dyDescent="0.3">
      <c r="A140" s="54"/>
      <c r="B140" s="54"/>
      <c r="C140" s="54"/>
      <c r="D140" s="55"/>
      <c r="E140" s="54"/>
      <c r="F140" s="54"/>
      <c r="G140" s="56"/>
      <c r="H140" s="57"/>
      <c r="I140" s="57"/>
      <c r="J140" s="57"/>
      <c r="K140" s="57"/>
      <c r="L140" s="57"/>
      <c r="M140" s="57"/>
      <c r="N140" s="57"/>
      <c r="O140" s="57"/>
      <c r="P140" s="36" t="str">
        <f t="shared" si="28"/>
        <v/>
      </c>
      <c r="Q140" s="58" t="str">
        <f t="shared" si="29"/>
        <v/>
      </c>
      <c r="R140" s="59" t="str">
        <f t="shared" si="30"/>
        <v/>
      </c>
      <c r="S140" s="59" t="str">
        <f t="shared" si="31"/>
        <v/>
      </c>
      <c r="T140" s="54"/>
      <c r="U140" s="59" t="str">
        <f t="shared" si="32"/>
        <v/>
      </c>
      <c r="V140" s="59" t="str">
        <f t="shared" si="33"/>
        <v/>
      </c>
      <c r="W140" s="54"/>
      <c r="X140" s="54"/>
      <c r="Y140" s="60" t="str">
        <f t="shared" si="34"/>
        <v/>
      </c>
      <c r="Z140" s="34" t="str">
        <f>IF($A140="","",RANK(Y140,$Y$5:$Y$152)+COUNTIF($Y$5:Y140,Y140)-1)</f>
        <v/>
      </c>
    </row>
    <row r="141" spans="1:26" s="44" customFormat="1" x14ac:dyDescent="0.3">
      <c r="A141" s="54"/>
      <c r="B141" s="54"/>
      <c r="C141" s="54"/>
      <c r="D141" s="55"/>
      <c r="E141" s="54"/>
      <c r="F141" s="54"/>
      <c r="G141" s="56"/>
      <c r="H141" s="57"/>
      <c r="I141" s="57"/>
      <c r="J141" s="57"/>
      <c r="K141" s="57"/>
      <c r="L141" s="57"/>
      <c r="M141" s="57"/>
      <c r="N141" s="57"/>
      <c r="O141" s="57"/>
      <c r="P141" s="36" t="str">
        <f t="shared" si="28"/>
        <v/>
      </c>
      <c r="Q141" s="58" t="str">
        <f t="shared" si="29"/>
        <v/>
      </c>
      <c r="R141" s="59" t="str">
        <f t="shared" si="30"/>
        <v/>
      </c>
      <c r="S141" s="59" t="str">
        <f t="shared" si="31"/>
        <v/>
      </c>
      <c r="T141" s="54"/>
      <c r="U141" s="59" t="str">
        <f t="shared" si="32"/>
        <v/>
      </c>
      <c r="V141" s="59" t="str">
        <f t="shared" si="33"/>
        <v/>
      </c>
      <c r="W141" s="54"/>
      <c r="X141" s="54"/>
      <c r="Y141" s="60" t="str">
        <f t="shared" si="34"/>
        <v/>
      </c>
      <c r="Z141" s="34" t="str">
        <f>IF($A141="","",RANK(Y141,$Y$5:$Y$152)+COUNTIF($Y$5:Y141,Y141)-1)</f>
        <v/>
      </c>
    </row>
    <row r="142" spans="1:26" s="44" customFormat="1" x14ac:dyDescent="0.3">
      <c r="A142" s="54"/>
      <c r="B142" s="54"/>
      <c r="C142" s="54"/>
      <c r="D142" s="55"/>
      <c r="E142" s="54"/>
      <c r="F142" s="54"/>
      <c r="G142" s="56"/>
      <c r="H142" s="57"/>
      <c r="I142" s="57"/>
      <c r="J142" s="57"/>
      <c r="K142" s="57"/>
      <c r="L142" s="57"/>
      <c r="M142" s="57"/>
      <c r="N142" s="57"/>
      <c r="O142" s="57"/>
      <c r="P142" s="36" t="str">
        <f t="shared" si="28"/>
        <v/>
      </c>
      <c r="Q142" s="58" t="str">
        <f t="shared" si="29"/>
        <v/>
      </c>
      <c r="R142" s="59" t="str">
        <f t="shared" si="30"/>
        <v/>
      </c>
      <c r="S142" s="59" t="str">
        <f t="shared" si="31"/>
        <v/>
      </c>
      <c r="T142" s="54"/>
      <c r="U142" s="59" t="str">
        <f t="shared" si="32"/>
        <v/>
      </c>
      <c r="V142" s="59" t="str">
        <f t="shared" si="33"/>
        <v/>
      </c>
      <c r="W142" s="54"/>
      <c r="X142" s="54"/>
      <c r="Y142" s="60" t="str">
        <f t="shared" si="34"/>
        <v/>
      </c>
      <c r="Z142" s="34" t="str">
        <f>IF($A142="","",RANK(Y142,$Y$5:$Y$152)+COUNTIF($Y$5:Y142,Y142)-1)</f>
        <v/>
      </c>
    </row>
    <row r="143" spans="1:26" s="44" customFormat="1" x14ac:dyDescent="0.3">
      <c r="A143" s="54"/>
      <c r="B143" s="54"/>
      <c r="C143" s="54"/>
      <c r="D143" s="55"/>
      <c r="E143" s="54"/>
      <c r="F143" s="54"/>
      <c r="G143" s="56"/>
      <c r="H143" s="57"/>
      <c r="I143" s="57"/>
      <c r="J143" s="57"/>
      <c r="K143" s="57"/>
      <c r="L143" s="57"/>
      <c r="M143" s="57"/>
      <c r="N143" s="57"/>
      <c r="O143" s="57"/>
      <c r="P143" s="36" t="str">
        <f t="shared" si="28"/>
        <v/>
      </c>
      <c r="Q143" s="58" t="str">
        <f t="shared" si="29"/>
        <v/>
      </c>
      <c r="R143" s="59" t="str">
        <f t="shared" si="30"/>
        <v/>
      </c>
      <c r="S143" s="59" t="str">
        <f t="shared" si="31"/>
        <v/>
      </c>
      <c r="T143" s="54"/>
      <c r="U143" s="59" t="str">
        <f t="shared" si="32"/>
        <v/>
      </c>
      <c r="V143" s="59" t="str">
        <f t="shared" si="33"/>
        <v/>
      </c>
      <c r="W143" s="54"/>
      <c r="X143" s="54"/>
      <c r="Y143" s="60" t="str">
        <f t="shared" si="34"/>
        <v/>
      </c>
      <c r="Z143" s="34" t="str">
        <f>IF($A143="","",RANK(Y143,$Y$5:$Y$152)+COUNTIF($Y$5:Y143,Y143)-1)</f>
        <v/>
      </c>
    </row>
    <row r="144" spans="1:26" s="44" customFormat="1" x14ac:dyDescent="0.3">
      <c r="A144" s="54"/>
      <c r="B144" s="54"/>
      <c r="C144" s="54"/>
      <c r="D144" s="55"/>
      <c r="E144" s="54"/>
      <c r="F144" s="54"/>
      <c r="G144" s="56"/>
      <c r="H144" s="57"/>
      <c r="I144" s="57"/>
      <c r="J144" s="57"/>
      <c r="K144" s="57"/>
      <c r="L144" s="57"/>
      <c r="M144" s="57"/>
      <c r="N144" s="57"/>
      <c r="O144" s="57"/>
      <c r="P144" s="36" t="str">
        <f t="shared" si="28"/>
        <v/>
      </c>
      <c r="Q144" s="58" t="str">
        <f t="shared" si="29"/>
        <v/>
      </c>
      <c r="R144" s="59" t="str">
        <f t="shared" si="30"/>
        <v/>
      </c>
      <c r="S144" s="59" t="str">
        <f t="shared" si="31"/>
        <v/>
      </c>
      <c r="T144" s="54"/>
      <c r="U144" s="59" t="str">
        <f t="shared" si="32"/>
        <v/>
      </c>
      <c r="V144" s="59" t="str">
        <f t="shared" si="33"/>
        <v/>
      </c>
      <c r="W144" s="54"/>
      <c r="X144" s="54"/>
      <c r="Y144" s="60" t="str">
        <f t="shared" si="34"/>
        <v/>
      </c>
      <c r="Z144" s="34" t="str">
        <f>IF($A144="","",RANK(Y144,$Y$5:$Y$152)+COUNTIF($Y$5:Y144,Y144)-1)</f>
        <v/>
      </c>
    </row>
    <row r="145" spans="1:26" s="44" customFormat="1" x14ac:dyDescent="0.3">
      <c r="A145" s="54"/>
      <c r="B145" s="54"/>
      <c r="C145" s="54"/>
      <c r="D145" s="55"/>
      <c r="E145" s="54"/>
      <c r="F145" s="54"/>
      <c r="G145" s="56"/>
      <c r="H145" s="57"/>
      <c r="I145" s="57"/>
      <c r="J145" s="57"/>
      <c r="K145" s="57"/>
      <c r="L145" s="57"/>
      <c r="M145" s="57"/>
      <c r="N145" s="57"/>
      <c r="O145" s="57"/>
      <c r="P145" s="36" t="str">
        <f t="shared" si="28"/>
        <v/>
      </c>
      <c r="Q145" s="58" t="str">
        <f t="shared" si="29"/>
        <v/>
      </c>
      <c r="R145" s="59" t="str">
        <f t="shared" si="30"/>
        <v/>
      </c>
      <c r="S145" s="59" t="str">
        <f t="shared" si="31"/>
        <v/>
      </c>
      <c r="T145" s="54"/>
      <c r="U145" s="59" t="str">
        <f t="shared" si="32"/>
        <v/>
      </c>
      <c r="V145" s="59" t="str">
        <f t="shared" si="33"/>
        <v/>
      </c>
      <c r="W145" s="54"/>
      <c r="X145" s="54"/>
      <c r="Y145" s="60" t="str">
        <f t="shared" si="34"/>
        <v/>
      </c>
      <c r="Z145" s="34" t="str">
        <f>IF($A145="","",RANK(Y145,$Y$5:$Y$152)+COUNTIF($Y$5:Y145,Y145)-1)</f>
        <v/>
      </c>
    </row>
    <row r="146" spans="1:26" s="44" customFormat="1" x14ac:dyDescent="0.3">
      <c r="A146" s="54"/>
      <c r="B146" s="54"/>
      <c r="C146" s="54"/>
      <c r="D146" s="55"/>
      <c r="E146" s="54"/>
      <c r="F146" s="54"/>
      <c r="G146" s="56"/>
      <c r="H146" s="57"/>
      <c r="I146" s="57"/>
      <c r="J146" s="57"/>
      <c r="K146" s="57"/>
      <c r="L146" s="57"/>
      <c r="M146" s="57"/>
      <c r="N146" s="57"/>
      <c r="O146" s="57"/>
      <c r="P146" s="36" t="str">
        <f t="shared" si="28"/>
        <v/>
      </c>
      <c r="Q146" s="58" t="str">
        <f t="shared" si="29"/>
        <v/>
      </c>
      <c r="R146" s="59" t="str">
        <f t="shared" si="30"/>
        <v/>
      </c>
      <c r="S146" s="59" t="str">
        <f t="shared" si="31"/>
        <v/>
      </c>
      <c r="T146" s="54"/>
      <c r="U146" s="59" t="str">
        <f t="shared" si="32"/>
        <v/>
      </c>
      <c r="V146" s="59" t="str">
        <f t="shared" si="33"/>
        <v/>
      </c>
      <c r="W146" s="54"/>
      <c r="X146" s="54"/>
      <c r="Y146" s="60" t="str">
        <f t="shared" si="34"/>
        <v/>
      </c>
      <c r="Z146" s="34" t="str">
        <f>IF($A146="","",RANK(Y146,$Y$5:$Y$152)+COUNTIF($Y$5:Y146,Y146)-1)</f>
        <v/>
      </c>
    </row>
    <row r="147" spans="1:26" s="44" customFormat="1" x14ac:dyDescent="0.3">
      <c r="A147" s="54"/>
      <c r="B147" s="54"/>
      <c r="C147" s="54"/>
      <c r="D147" s="55"/>
      <c r="E147" s="54"/>
      <c r="F147" s="54"/>
      <c r="G147" s="56"/>
      <c r="H147" s="57"/>
      <c r="I147" s="57"/>
      <c r="J147" s="57"/>
      <c r="K147" s="57"/>
      <c r="L147" s="57"/>
      <c r="M147" s="57"/>
      <c r="N147" s="57"/>
      <c r="O147" s="57"/>
      <c r="P147" s="36" t="str">
        <f t="shared" si="28"/>
        <v/>
      </c>
      <c r="Q147" s="58" t="str">
        <f t="shared" si="29"/>
        <v/>
      </c>
      <c r="R147" s="59" t="str">
        <f t="shared" si="30"/>
        <v/>
      </c>
      <c r="S147" s="59" t="str">
        <f t="shared" si="31"/>
        <v/>
      </c>
      <c r="T147" s="54"/>
      <c r="U147" s="59" t="str">
        <f t="shared" si="32"/>
        <v/>
      </c>
      <c r="V147" s="59" t="str">
        <f t="shared" si="33"/>
        <v/>
      </c>
      <c r="W147" s="54"/>
      <c r="X147" s="54"/>
      <c r="Y147" s="60" t="str">
        <f t="shared" si="34"/>
        <v/>
      </c>
      <c r="Z147" s="34" t="str">
        <f>IF($A147="","",RANK(Y147,$Y$5:$Y$152)+COUNTIF($Y$5:Y147,Y147)-1)</f>
        <v/>
      </c>
    </row>
    <row r="148" spans="1:26" s="44" customFormat="1" x14ac:dyDescent="0.3">
      <c r="A148" s="54"/>
      <c r="B148" s="54"/>
      <c r="C148" s="54"/>
      <c r="D148" s="55"/>
      <c r="E148" s="54"/>
      <c r="F148" s="54"/>
      <c r="G148" s="56"/>
      <c r="H148" s="57"/>
      <c r="I148" s="57"/>
      <c r="J148" s="57"/>
      <c r="K148" s="57"/>
      <c r="L148" s="57"/>
      <c r="M148" s="57"/>
      <c r="N148" s="57"/>
      <c r="O148" s="57"/>
      <c r="P148" s="36" t="str">
        <f t="shared" si="28"/>
        <v/>
      </c>
      <c r="Q148" s="58" t="str">
        <f t="shared" si="29"/>
        <v/>
      </c>
      <c r="R148" s="59" t="str">
        <f t="shared" si="30"/>
        <v/>
      </c>
      <c r="S148" s="59" t="str">
        <f t="shared" si="31"/>
        <v/>
      </c>
      <c r="T148" s="54"/>
      <c r="U148" s="59" t="str">
        <f t="shared" si="32"/>
        <v/>
      </c>
      <c r="V148" s="59" t="str">
        <f t="shared" si="33"/>
        <v/>
      </c>
      <c r="W148" s="54"/>
      <c r="X148" s="54"/>
      <c r="Y148" s="60" t="str">
        <f t="shared" si="34"/>
        <v/>
      </c>
      <c r="Z148" s="34" t="str">
        <f>IF($A148="","",RANK(Y148,$Y$5:$Y$152)+COUNTIF($Y$5:Y148,Y148)-1)</f>
        <v/>
      </c>
    </row>
    <row r="149" spans="1:26" s="44" customFormat="1" x14ac:dyDescent="0.3">
      <c r="A149" s="54"/>
      <c r="B149" s="54"/>
      <c r="C149" s="54"/>
      <c r="D149" s="55"/>
      <c r="E149" s="54"/>
      <c r="F149" s="54"/>
      <c r="G149" s="56"/>
      <c r="H149" s="57"/>
      <c r="I149" s="57"/>
      <c r="J149" s="57"/>
      <c r="K149" s="57"/>
      <c r="L149" s="57"/>
      <c r="M149" s="57"/>
      <c r="N149" s="57"/>
      <c r="O149" s="57"/>
      <c r="P149" s="36" t="str">
        <f t="shared" si="28"/>
        <v/>
      </c>
      <c r="Q149" s="58" t="str">
        <f t="shared" si="29"/>
        <v/>
      </c>
      <c r="R149" s="59" t="str">
        <f t="shared" si="30"/>
        <v/>
      </c>
      <c r="S149" s="59" t="str">
        <f t="shared" si="31"/>
        <v/>
      </c>
      <c r="T149" s="54"/>
      <c r="U149" s="59" t="str">
        <f t="shared" si="32"/>
        <v/>
      </c>
      <c r="V149" s="59" t="str">
        <f t="shared" si="33"/>
        <v/>
      </c>
      <c r="W149" s="54"/>
      <c r="X149" s="54"/>
      <c r="Y149" s="60" t="str">
        <f t="shared" si="34"/>
        <v/>
      </c>
      <c r="Z149" s="34" t="str">
        <f>IF($A149="","",RANK(Y149,$Y$5:$Y$152)+COUNTIF($Y$5:Y149,Y149)-1)</f>
        <v/>
      </c>
    </row>
    <row r="150" spans="1:26" s="44" customFormat="1" x14ac:dyDescent="0.3">
      <c r="A150" s="54"/>
      <c r="B150" s="54"/>
      <c r="C150" s="54"/>
      <c r="D150" s="55"/>
      <c r="E150" s="54"/>
      <c r="F150" s="54"/>
      <c r="G150" s="56"/>
      <c r="H150" s="57"/>
      <c r="I150" s="57"/>
      <c r="J150" s="57"/>
      <c r="K150" s="57"/>
      <c r="L150" s="57"/>
      <c r="M150" s="57"/>
      <c r="N150" s="57"/>
      <c r="O150" s="57"/>
      <c r="P150" s="36" t="str">
        <f t="shared" si="28"/>
        <v/>
      </c>
      <c r="Q150" s="58" t="str">
        <f t="shared" si="29"/>
        <v/>
      </c>
      <c r="R150" s="59" t="str">
        <f t="shared" si="30"/>
        <v/>
      </c>
      <c r="S150" s="59" t="str">
        <f t="shared" si="31"/>
        <v/>
      </c>
      <c r="T150" s="54"/>
      <c r="U150" s="59" t="str">
        <f t="shared" si="32"/>
        <v/>
      </c>
      <c r="V150" s="59" t="str">
        <f t="shared" si="33"/>
        <v/>
      </c>
      <c r="W150" s="54"/>
      <c r="X150" s="54"/>
      <c r="Y150" s="60" t="str">
        <f t="shared" si="34"/>
        <v/>
      </c>
      <c r="Z150" s="34" t="str">
        <f>IF($A150="","",RANK(Y150,$Y$5:$Y$152)+COUNTIF($Y$5:Y150,Y150)-1)</f>
        <v/>
      </c>
    </row>
    <row r="151" spans="1:26" s="44" customFormat="1" x14ac:dyDescent="0.3">
      <c r="A151" s="54"/>
      <c r="B151" s="54"/>
      <c r="C151" s="54"/>
      <c r="D151" s="55"/>
      <c r="E151" s="54"/>
      <c r="F151" s="54"/>
      <c r="G151" s="56"/>
      <c r="H151" s="57"/>
      <c r="I151" s="57"/>
      <c r="J151" s="57"/>
      <c r="K151" s="57"/>
      <c r="L151" s="57"/>
      <c r="M151" s="57"/>
      <c r="N151" s="57"/>
      <c r="O151" s="57"/>
      <c r="P151" s="36" t="str">
        <f t="shared" si="28"/>
        <v/>
      </c>
      <c r="Q151" s="58" t="str">
        <f t="shared" si="29"/>
        <v/>
      </c>
      <c r="R151" s="59" t="str">
        <f t="shared" si="30"/>
        <v/>
      </c>
      <c r="S151" s="59" t="str">
        <f t="shared" si="31"/>
        <v/>
      </c>
      <c r="T151" s="54"/>
      <c r="U151" s="59" t="str">
        <f t="shared" si="32"/>
        <v/>
      </c>
      <c r="V151" s="59" t="str">
        <f t="shared" si="33"/>
        <v/>
      </c>
      <c r="W151" s="54"/>
      <c r="X151" s="54"/>
      <c r="Y151" s="60" t="str">
        <f t="shared" si="34"/>
        <v/>
      </c>
      <c r="Z151" s="34" t="str">
        <f>IF($A151="","",RANK(Y151,$Y$5:$Y$152)+COUNTIF($Y$5:Y151,Y151)-1)</f>
        <v/>
      </c>
    </row>
    <row r="152" spans="1:26" s="44" customFormat="1" x14ac:dyDescent="0.3">
      <c r="A152" s="54"/>
      <c r="B152" s="54"/>
      <c r="C152" s="54"/>
      <c r="D152" s="55"/>
      <c r="E152" s="54"/>
      <c r="F152" s="54"/>
      <c r="G152" s="56"/>
      <c r="H152" s="57"/>
      <c r="I152" s="57"/>
      <c r="J152" s="57"/>
      <c r="K152" s="57"/>
      <c r="L152" s="57"/>
      <c r="M152" s="57"/>
      <c r="N152" s="57"/>
      <c r="O152" s="57"/>
      <c r="P152" s="36" t="str">
        <f t="shared" si="28"/>
        <v/>
      </c>
      <c r="Q152" s="58" t="str">
        <f t="shared" si="29"/>
        <v/>
      </c>
      <c r="R152" s="59" t="str">
        <f t="shared" si="30"/>
        <v/>
      </c>
      <c r="S152" s="59" t="str">
        <f t="shared" si="31"/>
        <v/>
      </c>
      <c r="T152" s="54"/>
      <c r="U152" s="59" t="str">
        <f t="shared" si="32"/>
        <v/>
      </c>
      <c r="V152" s="59" t="str">
        <f t="shared" si="33"/>
        <v/>
      </c>
      <c r="W152" s="54"/>
      <c r="X152" s="54"/>
      <c r="Y152" s="60" t="str">
        <f t="shared" si="34"/>
        <v/>
      </c>
      <c r="Z152" s="34" t="str">
        <f>IF($A152="","",RANK(Y152,$Y$5:$Y$152)+COUNTIF($Y$5:Y152,Y152)-1)</f>
        <v/>
      </c>
    </row>
  </sheetData>
  <sheetProtection algorithmName="SHA-512" hashValue="dydmEUHkN20TgC7bQLRp5Cek38V+M9cu3+Pm2DVcj9AvkEsfWs5f6c2FYxqxGrEB2cip7PudK+NutiYUqTqvKg==" saltValue="t8PBXi2NW/Wm2Jjx5JwnKQ==" spinCount="100000" sheet="1" sort="0" autoFilter="0"/>
  <autoFilter ref="A4:Z152" xr:uid="{00000000-0009-0000-0000-000003000000}"/>
  <mergeCells count="2">
    <mergeCell ref="A1:Y1"/>
    <mergeCell ref="A2:Y2"/>
  </mergeCells>
  <dataValidations count="4">
    <dataValidation type="list" allowBlank="1" showInputMessage="1" errorTitle="Valor no válido" error="Seleccione un valor de la lista." promptTitle="Seleccione" sqref="C5:C152" xr:uid="{00000000-0002-0000-0300-000000000000}">
      <formula1>ListaSexo</formula1>
      <formula2>0</formula2>
    </dataValidation>
    <dataValidation type="list" allowBlank="1" showInputMessage="1" errorTitle="Valor no válido" error="Seleccione un valor de la lista." promptTitle="Seleccione" sqref="E5:E152" xr:uid="{00000000-0002-0000-0300-000001000000}">
      <formula1>ListaCMCI</formula1>
      <formula2>0</formula2>
    </dataValidation>
    <dataValidation type="list" allowBlank="1" showInputMessage="1" errorTitle="Valor no válido" error="Seleccione un valor de la lista." promptTitle="Seleccione" sqref="T5:T152" xr:uid="{00000000-0002-0000-0300-000002000000}">
      <formula1>ListaSiNo</formula1>
      <formula2>0</formula2>
    </dataValidation>
    <dataValidation type="list" allowBlank="1" showInputMessage="1" errorTitle="Valor no válido" error="Seleccione un valor de la lista." promptTitle="Seleccione" sqref="W5:W152" xr:uid="{00000000-0002-0000-0300-000003000000}">
      <formula1>ListaEstadoVal</formula1>
      <formula2>0</formula2>
    </dataValidation>
  </dataValidations>
  <pageMargins left="0.75" right="0.75" top="1" bottom="1" header="0.511811023622047" footer="0.511811023622047"/>
  <pageSetup paperSize="9" scale="33" fitToHeight="0" orientation="landscape"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2" id="{00000000-000E-0000-0300-000002000000}">
            <xm:f>AND($P5&gt;=PARÁMETROS!$B$165,$P5&lt;=PARÁMETROS!$C$165)</xm:f>
            <x14:dxf>
              <fill>
                <patternFill>
                  <bgColor rgb="FF63BE7B"/>
                </patternFill>
              </fill>
            </x14:dxf>
          </x14:cfRule>
          <x14:cfRule type="expression" priority="3" id="{00000000-000E-0000-0300-000003000000}">
            <xm:f>AND($P5&gt;=PARÁMETROS!$B$166,$P5&lt;=PARÁMETROS!$C$166)</xm:f>
            <x14:dxf>
              <fill>
                <patternFill>
                  <bgColor rgb="FF9BD16E"/>
                </patternFill>
              </fill>
            </x14:dxf>
          </x14:cfRule>
          <x14:cfRule type="expression" priority="4" id="{00000000-000E-0000-0300-000004000000}">
            <xm:f>AND($P5&gt;=PARÁMETROS!$B$167,$P5&lt;=PARÁMETROS!$C$167)</xm:f>
            <x14:dxf>
              <fill>
                <patternFill>
                  <bgColor rgb="FFFFEB84"/>
                </patternFill>
              </fill>
            </x14:dxf>
          </x14:cfRule>
          <x14:cfRule type="expression" priority="5" id="{00000000-000E-0000-0300-000005000000}">
            <xm:f>AND($P5&gt;=PARÁMETROS!$B$168,$P5&lt;=PARÁMETROS!$C$168)</xm:f>
            <x14:dxf>
              <fill>
                <patternFill>
                  <bgColor rgb="FFF8A354"/>
                </patternFill>
              </fill>
            </x14:dxf>
          </x14:cfRule>
          <x14:cfRule type="expression" priority="6" id="{00000000-000E-0000-0300-000006000000}">
            <xm:f>AND($P5&gt;=PARÁMETROS!$B$169,$P5&lt;=PARÁMETROS!$C$169)</xm:f>
            <x14:dxf>
              <fill>
                <patternFill>
                  <bgColor rgb="FFF8696B"/>
                </patternFill>
              </fill>
            </x14:dxf>
          </x14:cfRule>
          <xm:sqref>P5:V152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O154"/>
  <sheetViews>
    <sheetView showGridLines="0" zoomScaleNormal="100" workbookViewId="0">
      <pane xSplit="2" ySplit="4" topLeftCell="G5" activePane="bottomRight" state="frozen"/>
      <selection pane="topRight" activeCell="C1" sqref="C1"/>
      <selection pane="bottomLeft" activeCell="A5" sqref="A5"/>
      <selection pane="bottomRight" activeCell="L7" sqref="L7"/>
    </sheetView>
  </sheetViews>
  <sheetFormatPr baseColWidth="10" defaultColWidth="8.6640625" defaultRowHeight="14.4" x14ac:dyDescent="0.3"/>
  <cols>
    <col min="1" max="1" width="9" customWidth="1"/>
    <col min="2" max="2" width="22.5546875" bestFit="1" customWidth="1"/>
    <col min="3" max="3" width="29.5546875" customWidth="1"/>
    <col min="4" max="4" width="10" customWidth="1"/>
    <col min="5" max="5" width="11" customWidth="1"/>
    <col min="6" max="6" width="14.6640625" bestFit="1" customWidth="1"/>
    <col min="7" max="7" width="16" customWidth="1"/>
    <col min="8" max="8" width="13" customWidth="1"/>
    <col min="9" max="10" width="11" customWidth="1"/>
    <col min="11" max="11" width="16" customWidth="1"/>
    <col min="12" max="12" width="12.5546875" bestFit="1" customWidth="1"/>
    <col min="13" max="13" width="14" customWidth="1"/>
    <col min="14" max="14" width="18.5546875" bestFit="1" customWidth="1"/>
    <col min="15" max="15" width="14" customWidth="1"/>
  </cols>
  <sheetData>
    <row r="1" spans="1:15" ht="25.5" customHeight="1" x14ac:dyDescent="0.3">
      <c r="A1" s="123" t="s">
        <v>528</v>
      </c>
      <c r="B1" s="123"/>
      <c r="C1" s="123"/>
      <c r="D1" s="123"/>
      <c r="E1" s="123"/>
      <c r="F1" s="123"/>
      <c r="G1" s="123"/>
      <c r="H1" s="123"/>
      <c r="I1" s="123"/>
      <c r="J1" s="123"/>
      <c r="K1" s="123"/>
      <c r="L1" s="123"/>
      <c r="M1" s="123"/>
      <c r="N1" s="123"/>
      <c r="O1" s="123"/>
    </row>
    <row r="2" spans="1:15" ht="30" customHeight="1" x14ac:dyDescent="0.3">
      <c r="A2" s="124" t="s">
        <v>529</v>
      </c>
      <c r="B2" s="124"/>
      <c r="C2" s="124"/>
      <c r="D2" s="124"/>
      <c r="E2" s="124"/>
      <c r="F2" s="124"/>
      <c r="G2" s="124"/>
      <c r="H2" s="124"/>
      <c r="I2" s="124"/>
      <c r="J2" s="124"/>
      <c r="K2" s="124"/>
      <c r="L2" s="124"/>
      <c r="M2" s="124"/>
      <c r="N2" s="124"/>
      <c r="O2" s="124"/>
    </row>
    <row r="4" spans="1:15" ht="30" customHeight="1" x14ac:dyDescent="0.3">
      <c r="A4" s="25" t="s">
        <v>530</v>
      </c>
      <c r="B4" s="25" t="s">
        <v>324</v>
      </c>
      <c r="C4" s="25" t="s">
        <v>531</v>
      </c>
      <c r="D4" s="25" t="s">
        <v>149</v>
      </c>
      <c r="E4" s="25" t="s">
        <v>509</v>
      </c>
      <c r="F4" s="25" t="s">
        <v>476</v>
      </c>
      <c r="G4" s="25" t="s">
        <v>532</v>
      </c>
      <c r="H4" s="25" t="s">
        <v>533</v>
      </c>
      <c r="I4" s="25" t="s">
        <v>534</v>
      </c>
      <c r="J4" s="25" t="s">
        <v>535</v>
      </c>
      <c r="K4" s="25" t="s">
        <v>536</v>
      </c>
      <c r="L4" s="25" t="s">
        <v>53</v>
      </c>
      <c r="M4" s="25" t="s">
        <v>537</v>
      </c>
      <c r="N4" s="25" t="s">
        <v>538</v>
      </c>
      <c r="O4" s="25" t="s">
        <v>539</v>
      </c>
    </row>
    <row r="5" spans="1:15" x14ac:dyDescent="0.3">
      <c r="A5" s="9">
        <v>1</v>
      </c>
      <c r="B5" s="28" t="str">
        <f>IFERROR(INDEX('BASE DE DATOS'!$A$5:$A$152,MATCH(1,'BASE DE DATOS'!$Z$5:$Z$152,0)),"")</f>
        <v>FV-GASIBA-2026-OR-001</v>
      </c>
      <c r="C5" s="27" t="str">
        <f>IFERROR(INDEX('BASE DE DATOS'!$B$5:$B$152,MATCH(1,'BASE DE DATOS'!$Z$5:$Z$152,0)),"")</f>
        <v>JONATHAN PEÑA</v>
      </c>
      <c r="D5" s="28" t="str">
        <f>IFERROR(INDEX('BASE DE DATOS'!$C$5:$C$152,MATCH(1,'BASE DE DATOS'!$Z$5:$Z$152,0)),"")</f>
        <v>Masculino</v>
      </c>
      <c r="E5" s="28">
        <f>IFERROR(INDEX('BASE DE DATOS'!$D$5:$D$152,MATCH(1,'BASE DE DATOS'!$Z$5:$Z$152,0)),"")</f>
        <v>39</v>
      </c>
      <c r="F5" s="28" t="str">
        <f>IFERROR(INDEX('BASE DE DATOS'!$E$5:$E$152,MATCH(1,'BASE DE DATOS'!$Z$5:$Z$152,0)),"")</f>
        <v>CMCI Orquídeas</v>
      </c>
      <c r="G5" s="27" t="str">
        <f>IFERROR(INDEX('BASE DE DATOS'!$F$5:$F$152,MATCH(1,'BASE DE DATOS'!$Z$5:$Z$152,0)),"")</f>
        <v>TARQUI</v>
      </c>
      <c r="H5" s="29">
        <f>IFERROR(INDEX('BASE DE DATOS'!$G$5:$G$152,MATCH(1,'BASE DE DATOS'!$Z$5:$Z$152,0)),"")</f>
        <v>46290</v>
      </c>
      <c r="I5" s="14">
        <f>IFERROR(INDEX('BASE DE DATOS'!$P$5:$P$152,MATCH(1,'BASE DE DATOS'!$Z$5:$Z$152,0)),"")</f>
        <v>64.103250000000003</v>
      </c>
      <c r="J5" s="26">
        <f>IFERROR(INDEX('BASE DE DATOS'!$Q$5:$Q$152,MATCH(1,'BASE DE DATOS'!$Z$5:$Z$152,0)),"")</f>
        <v>0.64103250000000001</v>
      </c>
      <c r="K5" s="28" t="str">
        <f>IFERROR(INDEX('BASE DE DATOS'!$R$5:$R$152,MATCH(1,'BASE DE DATOS'!$Z$5:$Z$152,0)),"")</f>
        <v>Vulnerabilidad alta</v>
      </c>
      <c r="L5" s="28" t="str">
        <f>IFERROR(INDEX('BASE DE DATOS'!$S$5:$S$152,MATCH(1,'BASE DE DATOS'!$Z$5:$Z$152,0)),"")</f>
        <v>PRIORIDAD 1</v>
      </c>
      <c r="M5" s="28" t="str">
        <f>IFERROR(INDEX('BASE DE DATOS'!$T$5:$T$152,MATCH(1,'BASE DE DATOS'!$Z$5:$Z$152,0)),"")</f>
        <v>Sí</v>
      </c>
      <c r="N5" s="27" t="str">
        <f>IFERROR(INDEX('BASE DE DATOS'!$W$5:$W$152,MATCH(1,'BASE DE DATOS'!$Z$5:$Z$152,0)),"")</f>
        <v>En proceso</v>
      </c>
      <c r="O5" s="28" t="str">
        <f>IFERROR(INDEX('BASE DE DATOS'!$U$5:$U$152,MATCH(1,'BASE DE DATOS'!$Z$5:$Z$152,0)),"")</f>
        <v>ALTA</v>
      </c>
    </row>
    <row r="6" spans="1:15" x14ac:dyDescent="0.3">
      <c r="A6" s="9">
        <v>2</v>
      </c>
      <c r="B6" s="28" t="str">
        <f>IFERROR(INDEX('BASE DE DATOS'!$A$5:$A$152,MATCH(2,'BASE DE DATOS'!$Z$5:$Z$152,0)),"")</f>
        <v>FV-GASIBA-2026-OR-002</v>
      </c>
      <c r="C6" s="27" t="str">
        <f>IFERROR(INDEX('BASE DE DATOS'!$B$5:$B$152,MATCH(2,'BASE DE DATOS'!$Z$5:$Z$152,0)),"")</f>
        <v xml:space="preserve">JAVIER GASTIABURO </v>
      </c>
      <c r="D6" s="28" t="str">
        <f>IFERROR(INDEX('BASE DE DATOS'!$C$5:$C$152,MATCH(2,'BASE DE DATOS'!$Z$5:$Z$152,0)),"")</f>
        <v>Masculino</v>
      </c>
      <c r="E6" s="28">
        <f>IFERROR(INDEX('BASE DE DATOS'!$D$5:$D$152,MATCH(2,'BASE DE DATOS'!$Z$5:$Z$152,0)),"")</f>
        <v>27</v>
      </c>
      <c r="F6" s="28" t="str">
        <f>IFERROR(INDEX('BASE DE DATOS'!$E$5:$E$152,MATCH(2,'BASE DE DATOS'!$Z$5:$Z$152,0)),"")</f>
        <v>CMCI Orquídeas</v>
      </c>
      <c r="G6" s="27" t="str">
        <f>IFERROR(INDEX('BASE DE DATOS'!$F$5:$F$152,MATCH(2,'BASE DE DATOS'!$Z$5:$Z$152,0)),"")</f>
        <v>TARQUI</v>
      </c>
      <c r="H6" s="29">
        <f>IFERROR(INDEX('BASE DE DATOS'!$G$5:$G$152,MATCH(2,'BASE DE DATOS'!$Z$5:$Z$152,0)),"")</f>
        <v>46290</v>
      </c>
      <c r="I6" s="14">
        <f>IFERROR(INDEX('BASE DE DATOS'!$P$5:$P$152,MATCH(2,'BASE DE DATOS'!$Z$5:$Z$152,0)),"")</f>
        <v>46.436999999999998</v>
      </c>
      <c r="J6" s="26">
        <f>IFERROR(INDEX('BASE DE DATOS'!$Q$5:$Q$152,MATCH(2,'BASE DE DATOS'!$Z$5:$Z$152,0)),"")</f>
        <v>0.46436999999999995</v>
      </c>
      <c r="K6" s="28" t="str">
        <f>IFERROR(INDEX('BASE DE DATOS'!$R$5:$R$152,MATCH(2,'BASE DE DATOS'!$Z$5:$Z$152,0)),"")</f>
        <v>Vulnerabilidad moderada</v>
      </c>
      <c r="L6" s="28" t="str">
        <f>IFERROR(INDEX('BASE DE DATOS'!$S$5:$S$152,MATCH(2,'BASE DE DATOS'!$Z$5:$Z$152,0)),"")</f>
        <v>PRIORIDAD 1</v>
      </c>
      <c r="M6" s="28" t="str">
        <f>IFERROR(INDEX('BASE DE DATOS'!$T$5:$T$152,MATCH(2,'BASE DE DATOS'!$Z$5:$Z$152,0)),"")</f>
        <v>Sí</v>
      </c>
      <c r="N6" s="27" t="str">
        <f>IFERROR(INDEX('BASE DE DATOS'!$W$5:$W$152,MATCH(2,'BASE DE DATOS'!$Z$5:$Z$152,0)),"")</f>
        <v>Pendiente de revisión</v>
      </c>
      <c r="O6" s="28" t="str">
        <f>IFERROR(INDEX('BASE DE DATOS'!$U$5:$U$152,MATCH(2,'BASE DE DATOS'!$Z$5:$Z$152,0)),"")</f>
        <v>ALTA</v>
      </c>
    </row>
    <row r="7" spans="1:15" x14ac:dyDescent="0.3">
      <c r="A7" s="9">
        <v>3</v>
      </c>
      <c r="B7" s="28" t="str">
        <f>IFERROR(INDEX('BASE DE DATOS'!$A$5:$A$152,MATCH(3,'BASE DE DATOS'!$Z$5:$Z$152,0)),"")</f>
        <v>FV-GASIBA-2026-OR-002</v>
      </c>
      <c r="C7" s="27" t="str">
        <f>IFERROR(INDEX('BASE DE DATOS'!$B$5:$B$152,MATCH(3,'BASE DE DATOS'!$Z$5:$Z$152,0)),"")</f>
        <v xml:space="preserve">JAVIER GASTIABURO </v>
      </c>
      <c r="D7" s="28" t="str">
        <f>IFERROR(INDEX('BASE DE DATOS'!$C$5:$C$152,MATCH(3,'BASE DE DATOS'!$Z$5:$Z$152,0)),"")</f>
        <v>Masculino</v>
      </c>
      <c r="E7" s="28">
        <f>IFERROR(INDEX('BASE DE DATOS'!$D$5:$D$152,MATCH(3,'BASE DE DATOS'!$Z$5:$Z$152,0)),"")</f>
        <v>27</v>
      </c>
      <c r="F7" s="28" t="str">
        <f>IFERROR(INDEX('BASE DE DATOS'!$E$5:$E$152,MATCH(3,'BASE DE DATOS'!$Z$5:$Z$152,0)),"")</f>
        <v>CMCI Orquídeas</v>
      </c>
      <c r="G7" s="27" t="str">
        <f>IFERROR(INDEX('BASE DE DATOS'!$F$5:$F$152,MATCH(3,'BASE DE DATOS'!$Z$5:$Z$152,0)),"")</f>
        <v>TARQUI</v>
      </c>
      <c r="H7" s="29">
        <f>IFERROR(INDEX('BASE DE DATOS'!$G$5:$G$152,MATCH(3,'BASE DE DATOS'!$Z$5:$Z$152,0)),"")</f>
        <v>46290</v>
      </c>
      <c r="I7" s="14">
        <f>IFERROR(INDEX('BASE DE DATOS'!$P$5:$P$152,MATCH(3,'BASE DE DATOS'!$Z$5:$Z$152,0)),"")</f>
        <v>16.436999999999998</v>
      </c>
      <c r="J7" s="26">
        <f>IFERROR(INDEX('BASE DE DATOS'!$Q$5:$Q$152,MATCH(3,'BASE DE DATOS'!$Z$5:$Z$152,0)),"")</f>
        <v>0.16436999999999999</v>
      </c>
      <c r="K7" s="28" t="str">
        <f>IFERROR(INDEX('BASE DE DATOS'!$R$5:$R$152,MATCH(3,'BASE DE DATOS'!$Z$5:$Z$152,0)),"")</f>
        <v>Vulnerabilidad muy baja</v>
      </c>
      <c r="L7" s="28" t="str">
        <f>IFERROR(INDEX('BASE DE DATOS'!$S$5:$S$152,MATCH(3,'BASE DE DATOS'!$Z$5:$Z$152,0)),"")</f>
        <v>PRIORIDAD 3</v>
      </c>
      <c r="M7" s="28" t="str">
        <f>IFERROR(INDEX('BASE DE DATOS'!$T$5:$T$152,MATCH(3,'BASE DE DATOS'!$Z$5:$Z$152,0)),"")</f>
        <v>No</v>
      </c>
      <c r="N7" s="27" t="str">
        <f>IFERROR(INDEX('BASE DE DATOS'!$W$5:$W$152,MATCH(3,'BASE DE DATOS'!$Z$5:$Z$152,0)),"")</f>
        <v>Pendiente de revisión</v>
      </c>
      <c r="O7" s="28" t="str">
        <f>IFERROR(INDEX('BASE DE DATOS'!$U$5:$U$152,MATCH(3,'BASE DE DATOS'!$Z$5:$Z$152,0)),"")</f>
        <v>BAJA</v>
      </c>
    </row>
    <row r="8" spans="1:15" x14ac:dyDescent="0.3">
      <c r="A8" s="9">
        <v>4</v>
      </c>
      <c r="B8" s="28" t="str">
        <f>IFERROR(INDEX('BASE DE DATOS'!$A$5:$A$152,MATCH(4,'BASE DE DATOS'!$Z$5:$Z$152,0)),"")</f>
        <v/>
      </c>
      <c r="C8" s="27" t="str">
        <f>IFERROR(INDEX('BASE DE DATOS'!$B$5:$B$152,MATCH(4,'BASE DE DATOS'!$Z$5:$Z$152,0)),"")</f>
        <v/>
      </c>
      <c r="D8" s="28" t="str">
        <f>IFERROR(INDEX('BASE DE DATOS'!$C$5:$C$152,MATCH(4,'BASE DE DATOS'!$Z$5:$Z$152,0)),"")</f>
        <v/>
      </c>
      <c r="E8" s="28" t="str">
        <f>IFERROR(INDEX('BASE DE DATOS'!$D$5:$D$152,MATCH(4,'BASE DE DATOS'!$Z$5:$Z$152,0)),"")</f>
        <v/>
      </c>
      <c r="F8" s="28" t="str">
        <f>IFERROR(INDEX('BASE DE DATOS'!$E$5:$E$152,MATCH(4,'BASE DE DATOS'!$Z$5:$Z$152,0)),"")</f>
        <v/>
      </c>
      <c r="G8" s="27" t="str">
        <f>IFERROR(INDEX('BASE DE DATOS'!$F$5:$F$152,MATCH(4,'BASE DE DATOS'!$Z$5:$Z$152,0)),"")</f>
        <v/>
      </c>
      <c r="H8" s="29" t="str">
        <f>IFERROR(INDEX('BASE DE DATOS'!$G$5:$G$152,MATCH(4,'BASE DE DATOS'!$Z$5:$Z$152,0)),"")</f>
        <v/>
      </c>
      <c r="I8" s="14" t="str">
        <f>IFERROR(INDEX('BASE DE DATOS'!$P$5:$P$152,MATCH(4,'BASE DE DATOS'!$Z$5:$Z$152,0)),"")</f>
        <v/>
      </c>
      <c r="J8" s="26" t="str">
        <f>IFERROR(INDEX('BASE DE DATOS'!$Q$5:$Q$152,MATCH(4,'BASE DE DATOS'!$Z$5:$Z$152,0)),"")</f>
        <v/>
      </c>
      <c r="K8" s="28" t="str">
        <f>IFERROR(INDEX('BASE DE DATOS'!$R$5:$R$152,MATCH(4,'BASE DE DATOS'!$Z$5:$Z$152,0)),"")</f>
        <v/>
      </c>
      <c r="L8" s="28" t="str">
        <f>IFERROR(INDEX('BASE DE DATOS'!$S$5:$S$152,MATCH(4,'BASE DE DATOS'!$Z$5:$Z$152,0)),"")</f>
        <v/>
      </c>
      <c r="M8" s="28" t="str">
        <f>IFERROR(INDEX('BASE DE DATOS'!$T$5:$T$152,MATCH(4,'BASE DE DATOS'!$Z$5:$Z$152,0)),"")</f>
        <v/>
      </c>
      <c r="N8" s="27" t="str">
        <f>IFERROR(INDEX('BASE DE DATOS'!$W$5:$W$152,MATCH(4,'BASE DE DATOS'!$Z$5:$Z$152,0)),"")</f>
        <v/>
      </c>
      <c r="O8" s="28" t="str">
        <f>IFERROR(INDEX('BASE DE DATOS'!$U$5:$U$152,MATCH(4,'BASE DE DATOS'!$Z$5:$Z$152,0)),"")</f>
        <v/>
      </c>
    </row>
    <row r="9" spans="1:15" x14ac:dyDescent="0.3">
      <c r="A9" s="9">
        <v>5</v>
      </c>
      <c r="B9" s="28" t="str">
        <f>IFERROR(INDEX('BASE DE DATOS'!$A$5:$A$152,MATCH(5,'BASE DE DATOS'!$Z$5:$Z$152,0)),"")</f>
        <v/>
      </c>
      <c r="C9" s="27" t="str">
        <f>IFERROR(INDEX('BASE DE DATOS'!$B$5:$B$152,MATCH(5,'BASE DE DATOS'!$Z$5:$Z$152,0)),"")</f>
        <v/>
      </c>
      <c r="D9" s="28" t="str">
        <f>IFERROR(INDEX('BASE DE DATOS'!$C$5:$C$152,MATCH(5,'BASE DE DATOS'!$Z$5:$Z$152,0)),"")</f>
        <v/>
      </c>
      <c r="E9" s="28" t="str">
        <f>IFERROR(INDEX('BASE DE DATOS'!$D$5:$D$152,MATCH(5,'BASE DE DATOS'!$Z$5:$Z$152,0)),"")</f>
        <v/>
      </c>
      <c r="F9" s="28" t="str">
        <f>IFERROR(INDEX('BASE DE DATOS'!$E$5:$E$152,MATCH(5,'BASE DE DATOS'!$Z$5:$Z$152,0)),"")</f>
        <v/>
      </c>
      <c r="G9" s="27" t="str">
        <f>IFERROR(INDEX('BASE DE DATOS'!$F$5:$F$152,MATCH(5,'BASE DE DATOS'!$Z$5:$Z$152,0)),"")</f>
        <v/>
      </c>
      <c r="H9" s="29" t="str">
        <f>IFERROR(INDEX('BASE DE DATOS'!$G$5:$G$152,MATCH(5,'BASE DE DATOS'!$Z$5:$Z$152,0)),"")</f>
        <v/>
      </c>
      <c r="I9" s="14" t="str">
        <f>IFERROR(INDEX('BASE DE DATOS'!$P$5:$P$152,MATCH(5,'BASE DE DATOS'!$Z$5:$Z$152,0)),"")</f>
        <v/>
      </c>
      <c r="J9" s="26" t="str">
        <f>IFERROR(INDEX('BASE DE DATOS'!$Q$5:$Q$152,MATCH(5,'BASE DE DATOS'!$Z$5:$Z$152,0)),"")</f>
        <v/>
      </c>
      <c r="K9" s="28" t="str">
        <f>IFERROR(INDEX('BASE DE DATOS'!$R$5:$R$152,MATCH(5,'BASE DE DATOS'!$Z$5:$Z$152,0)),"")</f>
        <v/>
      </c>
      <c r="L9" s="28" t="str">
        <f>IFERROR(INDEX('BASE DE DATOS'!$S$5:$S$152,MATCH(5,'BASE DE DATOS'!$Z$5:$Z$152,0)),"")</f>
        <v/>
      </c>
      <c r="M9" s="28" t="str">
        <f>IFERROR(INDEX('BASE DE DATOS'!$T$5:$T$152,MATCH(5,'BASE DE DATOS'!$Z$5:$Z$152,0)),"")</f>
        <v/>
      </c>
      <c r="N9" s="27" t="str">
        <f>IFERROR(INDEX('BASE DE DATOS'!$W$5:$W$152,MATCH(5,'BASE DE DATOS'!$Z$5:$Z$152,0)),"")</f>
        <v/>
      </c>
      <c r="O9" s="28" t="str">
        <f>IFERROR(INDEX('BASE DE DATOS'!$U$5:$U$152,MATCH(5,'BASE DE DATOS'!$Z$5:$Z$152,0)),"")</f>
        <v/>
      </c>
    </row>
    <row r="10" spans="1:15" x14ac:dyDescent="0.3">
      <c r="A10" s="9">
        <v>6</v>
      </c>
      <c r="B10" s="28" t="str">
        <f>IFERROR(INDEX('BASE DE DATOS'!$A$5:$A$152,MATCH(6,'BASE DE DATOS'!$Z$5:$Z$152,0)),"")</f>
        <v/>
      </c>
      <c r="C10" s="27" t="str">
        <f>IFERROR(INDEX('BASE DE DATOS'!$B$5:$B$152,MATCH(6,'BASE DE DATOS'!$Z$5:$Z$152,0)),"")</f>
        <v/>
      </c>
      <c r="D10" s="28" t="str">
        <f>IFERROR(INDEX('BASE DE DATOS'!$C$5:$C$152,MATCH(6,'BASE DE DATOS'!$Z$5:$Z$152,0)),"")</f>
        <v/>
      </c>
      <c r="E10" s="28" t="str">
        <f>IFERROR(INDEX('BASE DE DATOS'!$D$5:$D$152,MATCH(6,'BASE DE DATOS'!$Z$5:$Z$152,0)),"")</f>
        <v/>
      </c>
      <c r="F10" s="28" t="str">
        <f>IFERROR(INDEX('BASE DE DATOS'!$E$5:$E$152,MATCH(6,'BASE DE DATOS'!$Z$5:$Z$152,0)),"")</f>
        <v/>
      </c>
      <c r="G10" s="27" t="str">
        <f>IFERROR(INDEX('BASE DE DATOS'!$F$5:$F$152,MATCH(6,'BASE DE DATOS'!$Z$5:$Z$152,0)),"")</f>
        <v/>
      </c>
      <c r="H10" s="29" t="str">
        <f>IFERROR(INDEX('BASE DE DATOS'!$G$5:$G$152,MATCH(6,'BASE DE DATOS'!$Z$5:$Z$152,0)),"")</f>
        <v/>
      </c>
      <c r="I10" s="14" t="str">
        <f>IFERROR(INDEX('BASE DE DATOS'!$P$5:$P$152,MATCH(6,'BASE DE DATOS'!$Z$5:$Z$152,0)),"")</f>
        <v/>
      </c>
      <c r="J10" s="26" t="str">
        <f>IFERROR(INDEX('BASE DE DATOS'!$Q$5:$Q$152,MATCH(6,'BASE DE DATOS'!$Z$5:$Z$152,0)),"")</f>
        <v/>
      </c>
      <c r="K10" s="28" t="str">
        <f>IFERROR(INDEX('BASE DE DATOS'!$R$5:$R$152,MATCH(6,'BASE DE DATOS'!$Z$5:$Z$152,0)),"")</f>
        <v/>
      </c>
      <c r="L10" s="28" t="str">
        <f>IFERROR(INDEX('BASE DE DATOS'!$S$5:$S$152,MATCH(6,'BASE DE DATOS'!$Z$5:$Z$152,0)),"")</f>
        <v/>
      </c>
      <c r="M10" s="28" t="str">
        <f>IFERROR(INDEX('BASE DE DATOS'!$T$5:$T$152,MATCH(6,'BASE DE DATOS'!$Z$5:$Z$152,0)),"")</f>
        <v/>
      </c>
      <c r="N10" s="27" t="str">
        <f>IFERROR(INDEX('BASE DE DATOS'!$W$5:$W$152,MATCH(6,'BASE DE DATOS'!$Z$5:$Z$152,0)),"")</f>
        <v/>
      </c>
      <c r="O10" s="28" t="str">
        <f>IFERROR(INDEX('BASE DE DATOS'!$U$5:$U$152,MATCH(6,'BASE DE DATOS'!$Z$5:$Z$152,0)),"")</f>
        <v/>
      </c>
    </row>
    <row r="11" spans="1:15" x14ac:dyDescent="0.3">
      <c r="A11" s="9">
        <v>7</v>
      </c>
      <c r="B11" s="28" t="str">
        <f>IFERROR(INDEX('BASE DE DATOS'!$A$5:$A$152,MATCH(7,'BASE DE DATOS'!$Z$5:$Z$152,0)),"")</f>
        <v/>
      </c>
      <c r="C11" s="27" t="str">
        <f>IFERROR(INDEX('BASE DE DATOS'!$B$5:$B$152,MATCH(7,'BASE DE DATOS'!$Z$5:$Z$152,0)),"")</f>
        <v/>
      </c>
      <c r="D11" s="28" t="str">
        <f>IFERROR(INDEX('BASE DE DATOS'!$C$5:$C$152,MATCH(7,'BASE DE DATOS'!$Z$5:$Z$152,0)),"")</f>
        <v/>
      </c>
      <c r="E11" s="28" t="str">
        <f>IFERROR(INDEX('BASE DE DATOS'!$D$5:$D$152,MATCH(7,'BASE DE DATOS'!$Z$5:$Z$152,0)),"")</f>
        <v/>
      </c>
      <c r="F11" s="28" t="str">
        <f>IFERROR(INDEX('BASE DE DATOS'!$E$5:$E$152,MATCH(7,'BASE DE DATOS'!$Z$5:$Z$152,0)),"")</f>
        <v/>
      </c>
      <c r="G11" s="27" t="str">
        <f>IFERROR(INDEX('BASE DE DATOS'!$F$5:$F$152,MATCH(7,'BASE DE DATOS'!$Z$5:$Z$152,0)),"")</f>
        <v/>
      </c>
      <c r="H11" s="29" t="str">
        <f>IFERROR(INDEX('BASE DE DATOS'!$G$5:$G$152,MATCH(7,'BASE DE DATOS'!$Z$5:$Z$152,0)),"")</f>
        <v/>
      </c>
      <c r="I11" s="14" t="str">
        <f>IFERROR(INDEX('BASE DE DATOS'!$P$5:$P$152,MATCH(7,'BASE DE DATOS'!$Z$5:$Z$152,0)),"")</f>
        <v/>
      </c>
      <c r="J11" s="26" t="str">
        <f>IFERROR(INDEX('BASE DE DATOS'!$Q$5:$Q$152,MATCH(7,'BASE DE DATOS'!$Z$5:$Z$152,0)),"")</f>
        <v/>
      </c>
      <c r="K11" s="28" t="str">
        <f>IFERROR(INDEX('BASE DE DATOS'!$R$5:$R$152,MATCH(7,'BASE DE DATOS'!$Z$5:$Z$152,0)),"")</f>
        <v/>
      </c>
      <c r="L11" s="28" t="str">
        <f>IFERROR(INDEX('BASE DE DATOS'!$S$5:$S$152,MATCH(7,'BASE DE DATOS'!$Z$5:$Z$152,0)),"")</f>
        <v/>
      </c>
      <c r="M11" s="28" t="str">
        <f>IFERROR(INDEX('BASE DE DATOS'!$T$5:$T$152,MATCH(7,'BASE DE DATOS'!$Z$5:$Z$152,0)),"")</f>
        <v/>
      </c>
      <c r="N11" s="27" t="str">
        <f>IFERROR(INDEX('BASE DE DATOS'!$W$5:$W$152,MATCH(7,'BASE DE DATOS'!$Z$5:$Z$152,0)),"")</f>
        <v/>
      </c>
      <c r="O11" s="28" t="str">
        <f>IFERROR(INDEX('BASE DE DATOS'!$U$5:$U$152,MATCH(7,'BASE DE DATOS'!$Z$5:$Z$152,0)),"")</f>
        <v/>
      </c>
    </row>
    <row r="12" spans="1:15" x14ac:dyDescent="0.3">
      <c r="A12" s="9">
        <v>8</v>
      </c>
      <c r="B12" s="28" t="str">
        <f>IFERROR(INDEX('BASE DE DATOS'!$A$5:$A$152,MATCH(8,'BASE DE DATOS'!$Z$5:$Z$152,0)),"")</f>
        <v/>
      </c>
      <c r="C12" s="27" t="str">
        <f>IFERROR(INDEX('BASE DE DATOS'!$B$5:$B$152,MATCH(8,'BASE DE DATOS'!$Z$5:$Z$152,0)),"")</f>
        <v/>
      </c>
      <c r="D12" s="28" t="str">
        <f>IFERROR(INDEX('BASE DE DATOS'!$C$5:$C$152,MATCH(8,'BASE DE DATOS'!$Z$5:$Z$152,0)),"")</f>
        <v/>
      </c>
      <c r="E12" s="28" t="str">
        <f>IFERROR(INDEX('BASE DE DATOS'!$D$5:$D$152,MATCH(8,'BASE DE DATOS'!$Z$5:$Z$152,0)),"")</f>
        <v/>
      </c>
      <c r="F12" s="28" t="str">
        <f>IFERROR(INDEX('BASE DE DATOS'!$E$5:$E$152,MATCH(8,'BASE DE DATOS'!$Z$5:$Z$152,0)),"")</f>
        <v/>
      </c>
      <c r="G12" s="27" t="str">
        <f>IFERROR(INDEX('BASE DE DATOS'!$F$5:$F$152,MATCH(8,'BASE DE DATOS'!$Z$5:$Z$152,0)),"")</f>
        <v/>
      </c>
      <c r="H12" s="29" t="str">
        <f>IFERROR(INDEX('BASE DE DATOS'!$G$5:$G$152,MATCH(8,'BASE DE DATOS'!$Z$5:$Z$152,0)),"")</f>
        <v/>
      </c>
      <c r="I12" s="14" t="str">
        <f>IFERROR(INDEX('BASE DE DATOS'!$P$5:$P$152,MATCH(8,'BASE DE DATOS'!$Z$5:$Z$152,0)),"")</f>
        <v/>
      </c>
      <c r="J12" s="26" t="str">
        <f>IFERROR(INDEX('BASE DE DATOS'!$Q$5:$Q$152,MATCH(8,'BASE DE DATOS'!$Z$5:$Z$152,0)),"")</f>
        <v/>
      </c>
      <c r="K12" s="28" t="str">
        <f>IFERROR(INDEX('BASE DE DATOS'!$R$5:$R$152,MATCH(8,'BASE DE DATOS'!$Z$5:$Z$152,0)),"")</f>
        <v/>
      </c>
      <c r="L12" s="28" t="str">
        <f>IFERROR(INDEX('BASE DE DATOS'!$S$5:$S$152,MATCH(8,'BASE DE DATOS'!$Z$5:$Z$152,0)),"")</f>
        <v/>
      </c>
      <c r="M12" s="28" t="str">
        <f>IFERROR(INDEX('BASE DE DATOS'!$T$5:$T$152,MATCH(8,'BASE DE DATOS'!$Z$5:$Z$152,0)),"")</f>
        <v/>
      </c>
      <c r="N12" s="27" t="str">
        <f>IFERROR(INDEX('BASE DE DATOS'!$W$5:$W$152,MATCH(8,'BASE DE DATOS'!$Z$5:$Z$152,0)),"")</f>
        <v/>
      </c>
      <c r="O12" s="28" t="str">
        <f>IFERROR(INDEX('BASE DE DATOS'!$U$5:$U$152,MATCH(8,'BASE DE DATOS'!$Z$5:$Z$152,0)),"")</f>
        <v/>
      </c>
    </row>
    <row r="13" spans="1:15" x14ac:dyDescent="0.3">
      <c r="A13" s="9">
        <v>9</v>
      </c>
      <c r="B13" s="28" t="str">
        <f>IFERROR(INDEX('BASE DE DATOS'!$A$5:$A$152,MATCH(9,'BASE DE DATOS'!$Z$5:$Z$152,0)),"")</f>
        <v/>
      </c>
      <c r="C13" s="27" t="str">
        <f>IFERROR(INDEX('BASE DE DATOS'!$B$5:$B$152,MATCH(9,'BASE DE DATOS'!$Z$5:$Z$152,0)),"")</f>
        <v/>
      </c>
      <c r="D13" s="28" t="str">
        <f>IFERROR(INDEX('BASE DE DATOS'!$C$5:$C$152,MATCH(9,'BASE DE DATOS'!$Z$5:$Z$152,0)),"")</f>
        <v/>
      </c>
      <c r="E13" s="28" t="str">
        <f>IFERROR(INDEX('BASE DE DATOS'!$D$5:$D$152,MATCH(9,'BASE DE DATOS'!$Z$5:$Z$152,0)),"")</f>
        <v/>
      </c>
      <c r="F13" s="28" t="str">
        <f>IFERROR(INDEX('BASE DE DATOS'!$E$5:$E$152,MATCH(9,'BASE DE DATOS'!$Z$5:$Z$152,0)),"")</f>
        <v/>
      </c>
      <c r="G13" s="27" t="str">
        <f>IFERROR(INDEX('BASE DE DATOS'!$F$5:$F$152,MATCH(9,'BASE DE DATOS'!$Z$5:$Z$152,0)),"")</f>
        <v/>
      </c>
      <c r="H13" s="29" t="str">
        <f>IFERROR(INDEX('BASE DE DATOS'!$G$5:$G$152,MATCH(9,'BASE DE DATOS'!$Z$5:$Z$152,0)),"")</f>
        <v/>
      </c>
      <c r="I13" s="14" t="str">
        <f>IFERROR(INDEX('BASE DE DATOS'!$P$5:$P$152,MATCH(9,'BASE DE DATOS'!$Z$5:$Z$152,0)),"")</f>
        <v/>
      </c>
      <c r="J13" s="26" t="str">
        <f>IFERROR(INDEX('BASE DE DATOS'!$Q$5:$Q$152,MATCH(9,'BASE DE DATOS'!$Z$5:$Z$152,0)),"")</f>
        <v/>
      </c>
      <c r="K13" s="28" t="str">
        <f>IFERROR(INDEX('BASE DE DATOS'!$R$5:$R$152,MATCH(9,'BASE DE DATOS'!$Z$5:$Z$152,0)),"")</f>
        <v/>
      </c>
      <c r="L13" s="28" t="str">
        <f>IFERROR(INDEX('BASE DE DATOS'!$S$5:$S$152,MATCH(9,'BASE DE DATOS'!$Z$5:$Z$152,0)),"")</f>
        <v/>
      </c>
      <c r="M13" s="28" t="str">
        <f>IFERROR(INDEX('BASE DE DATOS'!$T$5:$T$152,MATCH(9,'BASE DE DATOS'!$Z$5:$Z$152,0)),"")</f>
        <v/>
      </c>
      <c r="N13" s="27" t="str">
        <f>IFERROR(INDEX('BASE DE DATOS'!$W$5:$W$152,MATCH(9,'BASE DE DATOS'!$Z$5:$Z$152,0)),"")</f>
        <v/>
      </c>
      <c r="O13" s="28" t="str">
        <f>IFERROR(INDEX('BASE DE DATOS'!$U$5:$U$152,MATCH(9,'BASE DE DATOS'!$Z$5:$Z$152,0)),"")</f>
        <v/>
      </c>
    </row>
    <row r="14" spans="1:15" x14ac:dyDescent="0.3">
      <c r="A14" s="9">
        <v>10</v>
      </c>
      <c r="B14" s="28" t="str">
        <f>IFERROR(INDEX('BASE DE DATOS'!$A$5:$A$152,MATCH(10,'BASE DE DATOS'!$Z$5:$Z$152,0)),"")</f>
        <v/>
      </c>
      <c r="C14" s="27" t="str">
        <f>IFERROR(INDEX('BASE DE DATOS'!$B$5:$B$152,MATCH(10,'BASE DE DATOS'!$Z$5:$Z$152,0)),"")</f>
        <v/>
      </c>
      <c r="D14" s="28" t="str">
        <f>IFERROR(INDEX('BASE DE DATOS'!$C$5:$C$152,MATCH(10,'BASE DE DATOS'!$Z$5:$Z$152,0)),"")</f>
        <v/>
      </c>
      <c r="E14" s="28" t="str">
        <f>IFERROR(INDEX('BASE DE DATOS'!$D$5:$D$152,MATCH(10,'BASE DE DATOS'!$Z$5:$Z$152,0)),"")</f>
        <v/>
      </c>
      <c r="F14" s="28" t="str">
        <f>IFERROR(INDEX('BASE DE DATOS'!$E$5:$E$152,MATCH(10,'BASE DE DATOS'!$Z$5:$Z$152,0)),"")</f>
        <v/>
      </c>
      <c r="G14" s="27" t="str">
        <f>IFERROR(INDEX('BASE DE DATOS'!$F$5:$F$152,MATCH(10,'BASE DE DATOS'!$Z$5:$Z$152,0)),"")</f>
        <v/>
      </c>
      <c r="H14" s="29" t="str">
        <f>IFERROR(INDEX('BASE DE DATOS'!$G$5:$G$152,MATCH(10,'BASE DE DATOS'!$Z$5:$Z$152,0)),"")</f>
        <v/>
      </c>
      <c r="I14" s="14" t="str">
        <f>IFERROR(INDEX('BASE DE DATOS'!$P$5:$P$152,MATCH(10,'BASE DE DATOS'!$Z$5:$Z$152,0)),"")</f>
        <v/>
      </c>
      <c r="J14" s="26" t="str">
        <f>IFERROR(INDEX('BASE DE DATOS'!$Q$5:$Q$152,MATCH(10,'BASE DE DATOS'!$Z$5:$Z$152,0)),"")</f>
        <v/>
      </c>
      <c r="K14" s="28" t="str">
        <f>IFERROR(INDEX('BASE DE DATOS'!$R$5:$R$152,MATCH(10,'BASE DE DATOS'!$Z$5:$Z$152,0)),"")</f>
        <v/>
      </c>
      <c r="L14" s="28" t="str">
        <f>IFERROR(INDEX('BASE DE DATOS'!$S$5:$S$152,MATCH(10,'BASE DE DATOS'!$Z$5:$Z$152,0)),"")</f>
        <v/>
      </c>
      <c r="M14" s="28" t="str">
        <f>IFERROR(INDEX('BASE DE DATOS'!$T$5:$T$152,MATCH(10,'BASE DE DATOS'!$Z$5:$Z$152,0)),"")</f>
        <v/>
      </c>
      <c r="N14" s="27" t="str">
        <f>IFERROR(INDEX('BASE DE DATOS'!$W$5:$W$152,MATCH(10,'BASE DE DATOS'!$Z$5:$Z$152,0)),"")</f>
        <v/>
      </c>
      <c r="O14" s="28" t="str">
        <f>IFERROR(INDEX('BASE DE DATOS'!$U$5:$U$152,MATCH(10,'BASE DE DATOS'!$Z$5:$Z$152,0)),"")</f>
        <v/>
      </c>
    </row>
    <row r="15" spans="1:15" x14ac:dyDescent="0.3">
      <c r="A15" s="9">
        <v>11</v>
      </c>
      <c r="B15" s="28" t="str">
        <f>IFERROR(INDEX('BASE DE DATOS'!$A$5:$A$152,MATCH(11,'BASE DE DATOS'!$Z$5:$Z$152,0)),"")</f>
        <v/>
      </c>
      <c r="C15" s="27" t="str">
        <f>IFERROR(INDEX('BASE DE DATOS'!$B$5:$B$152,MATCH(11,'BASE DE DATOS'!$Z$5:$Z$152,0)),"")</f>
        <v/>
      </c>
      <c r="D15" s="28" t="str">
        <f>IFERROR(INDEX('BASE DE DATOS'!$C$5:$C$152,MATCH(11,'BASE DE DATOS'!$Z$5:$Z$152,0)),"")</f>
        <v/>
      </c>
      <c r="E15" s="28" t="str">
        <f>IFERROR(INDEX('BASE DE DATOS'!$D$5:$D$152,MATCH(11,'BASE DE DATOS'!$Z$5:$Z$152,0)),"")</f>
        <v/>
      </c>
      <c r="F15" s="28" t="str">
        <f>IFERROR(INDEX('BASE DE DATOS'!$E$5:$E$152,MATCH(11,'BASE DE DATOS'!$Z$5:$Z$152,0)),"")</f>
        <v/>
      </c>
      <c r="G15" s="27" t="str">
        <f>IFERROR(INDEX('BASE DE DATOS'!$F$5:$F$152,MATCH(11,'BASE DE DATOS'!$Z$5:$Z$152,0)),"")</f>
        <v/>
      </c>
      <c r="H15" s="29" t="str">
        <f>IFERROR(INDEX('BASE DE DATOS'!$G$5:$G$152,MATCH(11,'BASE DE DATOS'!$Z$5:$Z$152,0)),"")</f>
        <v/>
      </c>
      <c r="I15" s="14" t="str">
        <f>IFERROR(INDEX('BASE DE DATOS'!$P$5:$P$152,MATCH(11,'BASE DE DATOS'!$Z$5:$Z$152,0)),"")</f>
        <v/>
      </c>
      <c r="J15" s="26" t="str">
        <f>IFERROR(INDEX('BASE DE DATOS'!$Q$5:$Q$152,MATCH(11,'BASE DE DATOS'!$Z$5:$Z$152,0)),"")</f>
        <v/>
      </c>
      <c r="K15" s="28" t="str">
        <f>IFERROR(INDEX('BASE DE DATOS'!$R$5:$R$152,MATCH(11,'BASE DE DATOS'!$Z$5:$Z$152,0)),"")</f>
        <v/>
      </c>
      <c r="L15" s="28" t="str">
        <f>IFERROR(INDEX('BASE DE DATOS'!$S$5:$S$152,MATCH(11,'BASE DE DATOS'!$Z$5:$Z$152,0)),"")</f>
        <v/>
      </c>
      <c r="M15" s="28" t="str">
        <f>IFERROR(INDEX('BASE DE DATOS'!$T$5:$T$152,MATCH(11,'BASE DE DATOS'!$Z$5:$Z$152,0)),"")</f>
        <v/>
      </c>
      <c r="N15" s="27" t="str">
        <f>IFERROR(INDEX('BASE DE DATOS'!$W$5:$W$152,MATCH(11,'BASE DE DATOS'!$Z$5:$Z$152,0)),"")</f>
        <v/>
      </c>
      <c r="O15" s="28" t="str">
        <f>IFERROR(INDEX('BASE DE DATOS'!$U$5:$U$152,MATCH(11,'BASE DE DATOS'!$Z$5:$Z$152,0)),"")</f>
        <v/>
      </c>
    </row>
    <row r="16" spans="1:15" x14ac:dyDescent="0.3">
      <c r="A16" s="9">
        <v>12</v>
      </c>
      <c r="B16" s="28" t="str">
        <f>IFERROR(INDEX('BASE DE DATOS'!$A$5:$A$152,MATCH(12,'BASE DE DATOS'!$Z$5:$Z$152,0)),"")</f>
        <v/>
      </c>
      <c r="C16" s="27" t="str">
        <f>IFERROR(INDEX('BASE DE DATOS'!$B$5:$B$152,MATCH(12,'BASE DE DATOS'!$Z$5:$Z$152,0)),"")</f>
        <v/>
      </c>
      <c r="D16" s="28" t="str">
        <f>IFERROR(INDEX('BASE DE DATOS'!$C$5:$C$152,MATCH(12,'BASE DE DATOS'!$Z$5:$Z$152,0)),"")</f>
        <v/>
      </c>
      <c r="E16" s="28" t="str">
        <f>IFERROR(INDEX('BASE DE DATOS'!$D$5:$D$152,MATCH(12,'BASE DE DATOS'!$Z$5:$Z$152,0)),"")</f>
        <v/>
      </c>
      <c r="F16" s="28" t="str">
        <f>IFERROR(INDEX('BASE DE DATOS'!$E$5:$E$152,MATCH(12,'BASE DE DATOS'!$Z$5:$Z$152,0)),"")</f>
        <v/>
      </c>
      <c r="G16" s="27" t="str">
        <f>IFERROR(INDEX('BASE DE DATOS'!$F$5:$F$152,MATCH(12,'BASE DE DATOS'!$Z$5:$Z$152,0)),"")</f>
        <v/>
      </c>
      <c r="H16" s="29" t="str">
        <f>IFERROR(INDEX('BASE DE DATOS'!$G$5:$G$152,MATCH(12,'BASE DE DATOS'!$Z$5:$Z$152,0)),"")</f>
        <v/>
      </c>
      <c r="I16" s="14" t="str">
        <f>IFERROR(INDEX('BASE DE DATOS'!$P$5:$P$152,MATCH(12,'BASE DE DATOS'!$Z$5:$Z$152,0)),"")</f>
        <v/>
      </c>
      <c r="J16" s="26" t="str">
        <f>IFERROR(INDEX('BASE DE DATOS'!$Q$5:$Q$152,MATCH(12,'BASE DE DATOS'!$Z$5:$Z$152,0)),"")</f>
        <v/>
      </c>
      <c r="K16" s="28" t="str">
        <f>IFERROR(INDEX('BASE DE DATOS'!$R$5:$R$152,MATCH(12,'BASE DE DATOS'!$Z$5:$Z$152,0)),"")</f>
        <v/>
      </c>
      <c r="L16" s="28" t="str">
        <f>IFERROR(INDEX('BASE DE DATOS'!$S$5:$S$152,MATCH(12,'BASE DE DATOS'!$Z$5:$Z$152,0)),"")</f>
        <v/>
      </c>
      <c r="M16" s="28" t="str">
        <f>IFERROR(INDEX('BASE DE DATOS'!$T$5:$T$152,MATCH(12,'BASE DE DATOS'!$Z$5:$Z$152,0)),"")</f>
        <v/>
      </c>
      <c r="N16" s="27" t="str">
        <f>IFERROR(INDEX('BASE DE DATOS'!$W$5:$W$152,MATCH(12,'BASE DE DATOS'!$Z$5:$Z$152,0)),"")</f>
        <v/>
      </c>
      <c r="O16" s="28" t="str">
        <f>IFERROR(INDEX('BASE DE DATOS'!$U$5:$U$152,MATCH(12,'BASE DE DATOS'!$Z$5:$Z$152,0)),"")</f>
        <v/>
      </c>
    </row>
    <row r="17" spans="1:15" x14ac:dyDescent="0.3">
      <c r="A17" s="9">
        <v>13</v>
      </c>
      <c r="B17" s="28" t="str">
        <f>IFERROR(INDEX('BASE DE DATOS'!$A$5:$A$152,MATCH(13,'BASE DE DATOS'!$Z$5:$Z$152,0)),"")</f>
        <v/>
      </c>
      <c r="C17" s="27" t="str">
        <f>IFERROR(INDEX('BASE DE DATOS'!$B$5:$B$152,MATCH(13,'BASE DE DATOS'!$Z$5:$Z$152,0)),"")</f>
        <v/>
      </c>
      <c r="D17" s="28" t="str">
        <f>IFERROR(INDEX('BASE DE DATOS'!$C$5:$C$152,MATCH(13,'BASE DE DATOS'!$Z$5:$Z$152,0)),"")</f>
        <v/>
      </c>
      <c r="E17" s="28" t="str">
        <f>IFERROR(INDEX('BASE DE DATOS'!$D$5:$D$152,MATCH(13,'BASE DE DATOS'!$Z$5:$Z$152,0)),"")</f>
        <v/>
      </c>
      <c r="F17" s="28" t="str">
        <f>IFERROR(INDEX('BASE DE DATOS'!$E$5:$E$152,MATCH(13,'BASE DE DATOS'!$Z$5:$Z$152,0)),"")</f>
        <v/>
      </c>
      <c r="G17" s="27" t="str">
        <f>IFERROR(INDEX('BASE DE DATOS'!$F$5:$F$152,MATCH(13,'BASE DE DATOS'!$Z$5:$Z$152,0)),"")</f>
        <v/>
      </c>
      <c r="H17" s="29" t="str">
        <f>IFERROR(INDEX('BASE DE DATOS'!$G$5:$G$152,MATCH(13,'BASE DE DATOS'!$Z$5:$Z$152,0)),"")</f>
        <v/>
      </c>
      <c r="I17" s="14" t="str">
        <f>IFERROR(INDEX('BASE DE DATOS'!$P$5:$P$152,MATCH(13,'BASE DE DATOS'!$Z$5:$Z$152,0)),"")</f>
        <v/>
      </c>
      <c r="J17" s="26" t="str">
        <f>IFERROR(INDEX('BASE DE DATOS'!$Q$5:$Q$152,MATCH(13,'BASE DE DATOS'!$Z$5:$Z$152,0)),"")</f>
        <v/>
      </c>
      <c r="K17" s="28" t="str">
        <f>IFERROR(INDEX('BASE DE DATOS'!$R$5:$R$152,MATCH(13,'BASE DE DATOS'!$Z$5:$Z$152,0)),"")</f>
        <v/>
      </c>
      <c r="L17" s="28" t="str">
        <f>IFERROR(INDEX('BASE DE DATOS'!$S$5:$S$152,MATCH(13,'BASE DE DATOS'!$Z$5:$Z$152,0)),"")</f>
        <v/>
      </c>
      <c r="M17" s="28" t="str">
        <f>IFERROR(INDEX('BASE DE DATOS'!$T$5:$T$152,MATCH(13,'BASE DE DATOS'!$Z$5:$Z$152,0)),"")</f>
        <v/>
      </c>
      <c r="N17" s="27" t="str">
        <f>IFERROR(INDEX('BASE DE DATOS'!$W$5:$W$152,MATCH(13,'BASE DE DATOS'!$Z$5:$Z$152,0)),"")</f>
        <v/>
      </c>
      <c r="O17" s="28" t="str">
        <f>IFERROR(INDEX('BASE DE DATOS'!$U$5:$U$152,MATCH(13,'BASE DE DATOS'!$Z$5:$Z$152,0)),"")</f>
        <v/>
      </c>
    </row>
    <row r="18" spans="1:15" x14ac:dyDescent="0.3">
      <c r="A18" s="9">
        <v>14</v>
      </c>
      <c r="B18" s="28" t="str">
        <f>IFERROR(INDEX('BASE DE DATOS'!$A$5:$A$152,MATCH(14,'BASE DE DATOS'!$Z$5:$Z$152,0)),"")</f>
        <v/>
      </c>
      <c r="C18" s="27" t="str">
        <f>IFERROR(INDEX('BASE DE DATOS'!$B$5:$B$152,MATCH(14,'BASE DE DATOS'!$Z$5:$Z$152,0)),"")</f>
        <v/>
      </c>
      <c r="D18" s="28" t="str">
        <f>IFERROR(INDEX('BASE DE DATOS'!$C$5:$C$152,MATCH(14,'BASE DE DATOS'!$Z$5:$Z$152,0)),"")</f>
        <v/>
      </c>
      <c r="E18" s="28" t="str">
        <f>IFERROR(INDEX('BASE DE DATOS'!$D$5:$D$152,MATCH(14,'BASE DE DATOS'!$Z$5:$Z$152,0)),"")</f>
        <v/>
      </c>
      <c r="F18" s="28" t="str">
        <f>IFERROR(INDEX('BASE DE DATOS'!$E$5:$E$152,MATCH(14,'BASE DE DATOS'!$Z$5:$Z$152,0)),"")</f>
        <v/>
      </c>
      <c r="G18" s="27" t="str">
        <f>IFERROR(INDEX('BASE DE DATOS'!$F$5:$F$152,MATCH(14,'BASE DE DATOS'!$Z$5:$Z$152,0)),"")</f>
        <v/>
      </c>
      <c r="H18" s="29" t="str">
        <f>IFERROR(INDEX('BASE DE DATOS'!$G$5:$G$152,MATCH(14,'BASE DE DATOS'!$Z$5:$Z$152,0)),"")</f>
        <v/>
      </c>
      <c r="I18" s="14" t="str">
        <f>IFERROR(INDEX('BASE DE DATOS'!$P$5:$P$152,MATCH(14,'BASE DE DATOS'!$Z$5:$Z$152,0)),"")</f>
        <v/>
      </c>
      <c r="J18" s="26" t="str">
        <f>IFERROR(INDEX('BASE DE DATOS'!$Q$5:$Q$152,MATCH(14,'BASE DE DATOS'!$Z$5:$Z$152,0)),"")</f>
        <v/>
      </c>
      <c r="K18" s="28" t="str">
        <f>IFERROR(INDEX('BASE DE DATOS'!$R$5:$R$152,MATCH(14,'BASE DE DATOS'!$Z$5:$Z$152,0)),"")</f>
        <v/>
      </c>
      <c r="L18" s="28" t="str">
        <f>IFERROR(INDEX('BASE DE DATOS'!$S$5:$S$152,MATCH(14,'BASE DE DATOS'!$Z$5:$Z$152,0)),"")</f>
        <v/>
      </c>
      <c r="M18" s="28" t="str">
        <f>IFERROR(INDEX('BASE DE DATOS'!$T$5:$T$152,MATCH(14,'BASE DE DATOS'!$Z$5:$Z$152,0)),"")</f>
        <v/>
      </c>
      <c r="N18" s="27" t="str">
        <f>IFERROR(INDEX('BASE DE DATOS'!$W$5:$W$152,MATCH(14,'BASE DE DATOS'!$Z$5:$Z$152,0)),"")</f>
        <v/>
      </c>
      <c r="O18" s="28" t="str">
        <f>IFERROR(INDEX('BASE DE DATOS'!$U$5:$U$152,MATCH(14,'BASE DE DATOS'!$Z$5:$Z$152,0)),"")</f>
        <v/>
      </c>
    </row>
    <row r="19" spans="1:15" x14ac:dyDescent="0.3">
      <c r="A19" s="9">
        <v>15</v>
      </c>
      <c r="B19" s="28" t="str">
        <f>IFERROR(INDEX('BASE DE DATOS'!$A$5:$A$152,MATCH(15,'BASE DE DATOS'!$Z$5:$Z$152,0)),"")</f>
        <v/>
      </c>
      <c r="C19" s="27" t="str">
        <f>IFERROR(INDEX('BASE DE DATOS'!$B$5:$B$152,MATCH(15,'BASE DE DATOS'!$Z$5:$Z$152,0)),"")</f>
        <v/>
      </c>
      <c r="D19" s="28" t="str">
        <f>IFERROR(INDEX('BASE DE DATOS'!$C$5:$C$152,MATCH(15,'BASE DE DATOS'!$Z$5:$Z$152,0)),"")</f>
        <v/>
      </c>
      <c r="E19" s="28" t="str">
        <f>IFERROR(INDEX('BASE DE DATOS'!$D$5:$D$152,MATCH(15,'BASE DE DATOS'!$Z$5:$Z$152,0)),"")</f>
        <v/>
      </c>
      <c r="F19" s="28" t="str">
        <f>IFERROR(INDEX('BASE DE DATOS'!$E$5:$E$152,MATCH(15,'BASE DE DATOS'!$Z$5:$Z$152,0)),"")</f>
        <v/>
      </c>
      <c r="G19" s="27" t="str">
        <f>IFERROR(INDEX('BASE DE DATOS'!$F$5:$F$152,MATCH(15,'BASE DE DATOS'!$Z$5:$Z$152,0)),"")</f>
        <v/>
      </c>
      <c r="H19" s="29" t="str">
        <f>IFERROR(INDEX('BASE DE DATOS'!$G$5:$G$152,MATCH(15,'BASE DE DATOS'!$Z$5:$Z$152,0)),"")</f>
        <v/>
      </c>
      <c r="I19" s="14" t="str">
        <f>IFERROR(INDEX('BASE DE DATOS'!$P$5:$P$152,MATCH(15,'BASE DE DATOS'!$Z$5:$Z$152,0)),"")</f>
        <v/>
      </c>
      <c r="J19" s="26" t="str">
        <f>IFERROR(INDEX('BASE DE DATOS'!$Q$5:$Q$152,MATCH(15,'BASE DE DATOS'!$Z$5:$Z$152,0)),"")</f>
        <v/>
      </c>
      <c r="K19" s="28" t="str">
        <f>IFERROR(INDEX('BASE DE DATOS'!$R$5:$R$152,MATCH(15,'BASE DE DATOS'!$Z$5:$Z$152,0)),"")</f>
        <v/>
      </c>
      <c r="L19" s="28" t="str">
        <f>IFERROR(INDEX('BASE DE DATOS'!$S$5:$S$152,MATCH(15,'BASE DE DATOS'!$Z$5:$Z$152,0)),"")</f>
        <v/>
      </c>
      <c r="M19" s="28" t="str">
        <f>IFERROR(INDEX('BASE DE DATOS'!$T$5:$T$152,MATCH(15,'BASE DE DATOS'!$Z$5:$Z$152,0)),"")</f>
        <v/>
      </c>
      <c r="N19" s="27" t="str">
        <f>IFERROR(INDEX('BASE DE DATOS'!$W$5:$W$152,MATCH(15,'BASE DE DATOS'!$Z$5:$Z$152,0)),"")</f>
        <v/>
      </c>
      <c r="O19" s="28" t="str">
        <f>IFERROR(INDEX('BASE DE DATOS'!$U$5:$U$152,MATCH(15,'BASE DE DATOS'!$Z$5:$Z$152,0)),"")</f>
        <v/>
      </c>
    </row>
    <row r="20" spans="1:15" x14ac:dyDescent="0.3">
      <c r="A20" s="9">
        <v>16</v>
      </c>
      <c r="B20" s="28" t="str">
        <f>IFERROR(INDEX('BASE DE DATOS'!$A$5:$A$152,MATCH(16,'BASE DE DATOS'!$Z$5:$Z$152,0)),"")</f>
        <v/>
      </c>
      <c r="C20" s="27" t="str">
        <f>IFERROR(INDEX('BASE DE DATOS'!$B$5:$B$152,MATCH(16,'BASE DE DATOS'!$Z$5:$Z$152,0)),"")</f>
        <v/>
      </c>
      <c r="D20" s="28" t="str">
        <f>IFERROR(INDEX('BASE DE DATOS'!$C$5:$C$152,MATCH(16,'BASE DE DATOS'!$Z$5:$Z$152,0)),"")</f>
        <v/>
      </c>
      <c r="E20" s="28" t="str">
        <f>IFERROR(INDEX('BASE DE DATOS'!$D$5:$D$152,MATCH(16,'BASE DE DATOS'!$Z$5:$Z$152,0)),"")</f>
        <v/>
      </c>
      <c r="F20" s="28" t="str">
        <f>IFERROR(INDEX('BASE DE DATOS'!$E$5:$E$152,MATCH(16,'BASE DE DATOS'!$Z$5:$Z$152,0)),"")</f>
        <v/>
      </c>
      <c r="G20" s="27" t="str">
        <f>IFERROR(INDEX('BASE DE DATOS'!$F$5:$F$152,MATCH(16,'BASE DE DATOS'!$Z$5:$Z$152,0)),"")</f>
        <v/>
      </c>
      <c r="H20" s="29" t="str">
        <f>IFERROR(INDEX('BASE DE DATOS'!$G$5:$G$152,MATCH(16,'BASE DE DATOS'!$Z$5:$Z$152,0)),"")</f>
        <v/>
      </c>
      <c r="I20" s="14" t="str">
        <f>IFERROR(INDEX('BASE DE DATOS'!$P$5:$P$152,MATCH(16,'BASE DE DATOS'!$Z$5:$Z$152,0)),"")</f>
        <v/>
      </c>
      <c r="J20" s="26" t="str">
        <f>IFERROR(INDEX('BASE DE DATOS'!$Q$5:$Q$152,MATCH(16,'BASE DE DATOS'!$Z$5:$Z$152,0)),"")</f>
        <v/>
      </c>
      <c r="K20" s="28" t="str">
        <f>IFERROR(INDEX('BASE DE DATOS'!$R$5:$R$152,MATCH(16,'BASE DE DATOS'!$Z$5:$Z$152,0)),"")</f>
        <v/>
      </c>
      <c r="L20" s="28" t="str">
        <f>IFERROR(INDEX('BASE DE DATOS'!$S$5:$S$152,MATCH(16,'BASE DE DATOS'!$Z$5:$Z$152,0)),"")</f>
        <v/>
      </c>
      <c r="M20" s="28" t="str">
        <f>IFERROR(INDEX('BASE DE DATOS'!$T$5:$T$152,MATCH(16,'BASE DE DATOS'!$Z$5:$Z$152,0)),"")</f>
        <v/>
      </c>
      <c r="N20" s="27" t="str">
        <f>IFERROR(INDEX('BASE DE DATOS'!$W$5:$W$152,MATCH(16,'BASE DE DATOS'!$Z$5:$Z$152,0)),"")</f>
        <v/>
      </c>
      <c r="O20" s="28" t="str">
        <f>IFERROR(INDEX('BASE DE DATOS'!$U$5:$U$152,MATCH(16,'BASE DE DATOS'!$Z$5:$Z$152,0)),"")</f>
        <v/>
      </c>
    </row>
    <row r="21" spans="1:15" x14ac:dyDescent="0.3">
      <c r="A21" s="9">
        <v>17</v>
      </c>
      <c r="B21" s="28" t="str">
        <f>IFERROR(INDEX('BASE DE DATOS'!$A$5:$A$152,MATCH(17,'BASE DE DATOS'!$Z$5:$Z$152,0)),"")</f>
        <v/>
      </c>
      <c r="C21" s="27" t="str">
        <f>IFERROR(INDEX('BASE DE DATOS'!$B$5:$B$152,MATCH(17,'BASE DE DATOS'!$Z$5:$Z$152,0)),"")</f>
        <v/>
      </c>
      <c r="D21" s="28" t="str">
        <f>IFERROR(INDEX('BASE DE DATOS'!$C$5:$C$152,MATCH(17,'BASE DE DATOS'!$Z$5:$Z$152,0)),"")</f>
        <v/>
      </c>
      <c r="E21" s="28" t="str">
        <f>IFERROR(INDEX('BASE DE DATOS'!$D$5:$D$152,MATCH(17,'BASE DE DATOS'!$Z$5:$Z$152,0)),"")</f>
        <v/>
      </c>
      <c r="F21" s="28" t="str">
        <f>IFERROR(INDEX('BASE DE DATOS'!$E$5:$E$152,MATCH(17,'BASE DE DATOS'!$Z$5:$Z$152,0)),"")</f>
        <v/>
      </c>
      <c r="G21" s="27" t="str">
        <f>IFERROR(INDEX('BASE DE DATOS'!$F$5:$F$152,MATCH(17,'BASE DE DATOS'!$Z$5:$Z$152,0)),"")</f>
        <v/>
      </c>
      <c r="H21" s="29" t="str">
        <f>IFERROR(INDEX('BASE DE DATOS'!$G$5:$G$152,MATCH(17,'BASE DE DATOS'!$Z$5:$Z$152,0)),"")</f>
        <v/>
      </c>
      <c r="I21" s="14" t="str">
        <f>IFERROR(INDEX('BASE DE DATOS'!$P$5:$P$152,MATCH(17,'BASE DE DATOS'!$Z$5:$Z$152,0)),"")</f>
        <v/>
      </c>
      <c r="J21" s="26" t="str">
        <f>IFERROR(INDEX('BASE DE DATOS'!$Q$5:$Q$152,MATCH(17,'BASE DE DATOS'!$Z$5:$Z$152,0)),"")</f>
        <v/>
      </c>
      <c r="K21" s="28" t="str">
        <f>IFERROR(INDEX('BASE DE DATOS'!$R$5:$R$152,MATCH(17,'BASE DE DATOS'!$Z$5:$Z$152,0)),"")</f>
        <v/>
      </c>
      <c r="L21" s="28" t="str">
        <f>IFERROR(INDEX('BASE DE DATOS'!$S$5:$S$152,MATCH(17,'BASE DE DATOS'!$Z$5:$Z$152,0)),"")</f>
        <v/>
      </c>
      <c r="M21" s="28" t="str">
        <f>IFERROR(INDEX('BASE DE DATOS'!$T$5:$T$152,MATCH(17,'BASE DE DATOS'!$Z$5:$Z$152,0)),"")</f>
        <v/>
      </c>
      <c r="N21" s="27" t="str">
        <f>IFERROR(INDEX('BASE DE DATOS'!$W$5:$W$152,MATCH(17,'BASE DE DATOS'!$Z$5:$Z$152,0)),"")</f>
        <v/>
      </c>
      <c r="O21" s="28" t="str">
        <f>IFERROR(INDEX('BASE DE DATOS'!$U$5:$U$152,MATCH(17,'BASE DE DATOS'!$Z$5:$Z$152,0)),"")</f>
        <v/>
      </c>
    </row>
    <row r="22" spans="1:15" x14ac:dyDescent="0.3">
      <c r="A22" s="9">
        <v>18</v>
      </c>
      <c r="B22" s="28" t="str">
        <f>IFERROR(INDEX('BASE DE DATOS'!$A$5:$A$152,MATCH(18,'BASE DE DATOS'!$Z$5:$Z$152,0)),"")</f>
        <v/>
      </c>
      <c r="C22" s="27" t="str">
        <f>IFERROR(INDEX('BASE DE DATOS'!$B$5:$B$152,MATCH(18,'BASE DE DATOS'!$Z$5:$Z$152,0)),"")</f>
        <v/>
      </c>
      <c r="D22" s="28" t="str">
        <f>IFERROR(INDEX('BASE DE DATOS'!$C$5:$C$152,MATCH(18,'BASE DE DATOS'!$Z$5:$Z$152,0)),"")</f>
        <v/>
      </c>
      <c r="E22" s="28" t="str">
        <f>IFERROR(INDEX('BASE DE DATOS'!$D$5:$D$152,MATCH(18,'BASE DE DATOS'!$Z$5:$Z$152,0)),"")</f>
        <v/>
      </c>
      <c r="F22" s="28" t="str">
        <f>IFERROR(INDEX('BASE DE DATOS'!$E$5:$E$152,MATCH(18,'BASE DE DATOS'!$Z$5:$Z$152,0)),"")</f>
        <v/>
      </c>
      <c r="G22" s="27" t="str">
        <f>IFERROR(INDEX('BASE DE DATOS'!$F$5:$F$152,MATCH(18,'BASE DE DATOS'!$Z$5:$Z$152,0)),"")</f>
        <v/>
      </c>
      <c r="H22" s="29" t="str">
        <f>IFERROR(INDEX('BASE DE DATOS'!$G$5:$G$152,MATCH(18,'BASE DE DATOS'!$Z$5:$Z$152,0)),"")</f>
        <v/>
      </c>
      <c r="I22" s="14" t="str">
        <f>IFERROR(INDEX('BASE DE DATOS'!$P$5:$P$152,MATCH(18,'BASE DE DATOS'!$Z$5:$Z$152,0)),"")</f>
        <v/>
      </c>
      <c r="J22" s="26" t="str">
        <f>IFERROR(INDEX('BASE DE DATOS'!$Q$5:$Q$152,MATCH(18,'BASE DE DATOS'!$Z$5:$Z$152,0)),"")</f>
        <v/>
      </c>
      <c r="K22" s="28" t="str">
        <f>IFERROR(INDEX('BASE DE DATOS'!$R$5:$R$152,MATCH(18,'BASE DE DATOS'!$Z$5:$Z$152,0)),"")</f>
        <v/>
      </c>
      <c r="L22" s="28" t="str">
        <f>IFERROR(INDEX('BASE DE DATOS'!$S$5:$S$152,MATCH(18,'BASE DE DATOS'!$Z$5:$Z$152,0)),"")</f>
        <v/>
      </c>
      <c r="M22" s="28" t="str">
        <f>IFERROR(INDEX('BASE DE DATOS'!$T$5:$T$152,MATCH(18,'BASE DE DATOS'!$Z$5:$Z$152,0)),"")</f>
        <v/>
      </c>
      <c r="N22" s="27" t="str">
        <f>IFERROR(INDEX('BASE DE DATOS'!$W$5:$W$152,MATCH(18,'BASE DE DATOS'!$Z$5:$Z$152,0)),"")</f>
        <v/>
      </c>
      <c r="O22" s="28" t="str">
        <f>IFERROR(INDEX('BASE DE DATOS'!$U$5:$U$152,MATCH(18,'BASE DE DATOS'!$Z$5:$Z$152,0)),"")</f>
        <v/>
      </c>
    </row>
    <row r="23" spans="1:15" x14ac:dyDescent="0.3">
      <c r="A23" s="9">
        <v>19</v>
      </c>
      <c r="B23" s="28" t="str">
        <f>IFERROR(INDEX('BASE DE DATOS'!$A$5:$A$152,MATCH(19,'BASE DE DATOS'!$Z$5:$Z$152,0)),"")</f>
        <v/>
      </c>
      <c r="C23" s="27" t="str">
        <f>IFERROR(INDEX('BASE DE DATOS'!$B$5:$B$152,MATCH(19,'BASE DE DATOS'!$Z$5:$Z$152,0)),"")</f>
        <v/>
      </c>
      <c r="D23" s="28" t="str">
        <f>IFERROR(INDEX('BASE DE DATOS'!$C$5:$C$152,MATCH(19,'BASE DE DATOS'!$Z$5:$Z$152,0)),"")</f>
        <v/>
      </c>
      <c r="E23" s="28" t="str">
        <f>IFERROR(INDEX('BASE DE DATOS'!$D$5:$D$152,MATCH(19,'BASE DE DATOS'!$Z$5:$Z$152,0)),"")</f>
        <v/>
      </c>
      <c r="F23" s="28" t="str">
        <f>IFERROR(INDEX('BASE DE DATOS'!$E$5:$E$152,MATCH(19,'BASE DE DATOS'!$Z$5:$Z$152,0)),"")</f>
        <v/>
      </c>
      <c r="G23" s="27" t="str">
        <f>IFERROR(INDEX('BASE DE DATOS'!$F$5:$F$152,MATCH(19,'BASE DE DATOS'!$Z$5:$Z$152,0)),"")</f>
        <v/>
      </c>
      <c r="H23" s="29" t="str">
        <f>IFERROR(INDEX('BASE DE DATOS'!$G$5:$G$152,MATCH(19,'BASE DE DATOS'!$Z$5:$Z$152,0)),"")</f>
        <v/>
      </c>
      <c r="I23" s="14" t="str">
        <f>IFERROR(INDEX('BASE DE DATOS'!$P$5:$P$152,MATCH(19,'BASE DE DATOS'!$Z$5:$Z$152,0)),"")</f>
        <v/>
      </c>
      <c r="J23" s="26" t="str">
        <f>IFERROR(INDEX('BASE DE DATOS'!$Q$5:$Q$152,MATCH(19,'BASE DE DATOS'!$Z$5:$Z$152,0)),"")</f>
        <v/>
      </c>
      <c r="K23" s="28" t="str">
        <f>IFERROR(INDEX('BASE DE DATOS'!$R$5:$R$152,MATCH(19,'BASE DE DATOS'!$Z$5:$Z$152,0)),"")</f>
        <v/>
      </c>
      <c r="L23" s="28" t="str">
        <f>IFERROR(INDEX('BASE DE DATOS'!$S$5:$S$152,MATCH(19,'BASE DE DATOS'!$Z$5:$Z$152,0)),"")</f>
        <v/>
      </c>
      <c r="M23" s="28" t="str">
        <f>IFERROR(INDEX('BASE DE DATOS'!$T$5:$T$152,MATCH(19,'BASE DE DATOS'!$Z$5:$Z$152,0)),"")</f>
        <v/>
      </c>
      <c r="N23" s="27" t="str">
        <f>IFERROR(INDEX('BASE DE DATOS'!$W$5:$W$152,MATCH(19,'BASE DE DATOS'!$Z$5:$Z$152,0)),"")</f>
        <v/>
      </c>
      <c r="O23" s="28" t="str">
        <f>IFERROR(INDEX('BASE DE DATOS'!$U$5:$U$152,MATCH(19,'BASE DE DATOS'!$Z$5:$Z$152,0)),"")</f>
        <v/>
      </c>
    </row>
    <row r="24" spans="1:15" x14ac:dyDescent="0.3">
      <c r="A24" s="9">
        <v>20</v>
      </c>
      <c r="B24" s="28" t="str">
        <f>IFERROR(INDEX('BASE DE DATOS'!$A$5:$A$152,MATCH(20,'BASE DE DATOS'!$Z$5:$Z$152,0)),"")</f>
        <v/>
      </c>
      <c r="C24" s="27" t="str">
        <f>IFERROR(INDEX('BASE DE DATOS'!$B$5:$B$152,MATCH(20,'BASE DE DATOS'!$Z$5:$Z$152,0)),"")</f>
        <v/>
      </c>
      <c r="D24" s="28" t="str">
        <f>IFERROR(INDEX('BASE DE DATOS'!$C$5:$C$152,MATCH(20,'BASE DE DATOS'!$Z$5:$Z$152,0)),"")</f>
        <v/>
      </c>
      <c r="E24" s="28" t="str">
        <f>IFERROR(INDEX('BASE DE DATOS'!$D$5:$D$152,MATCH(20,'BASE DE DATOS'!$Z$5:$Z$152,0)),"")</f>
        <v/>
      </c>
      <c r="F24" s="28" t="str">
        <f>IFERROR(INDEX('BASE DE DATOS'!$E$5:$E$152,MATCH(20,'BASE DE DATOS'!$Z$5:$Z$152,0)),"")</f>
        <v/>
      </c>
      <c r="G24" s="27" t="str">
        <f>IFERROR(INDEX('BASE DE DATOS'!$F$5:$F$152,MATCH(20,'BASE DE DATOS'!$Z$5:$Z$152,0)),"")</f>
        <v/>
      </c>
      <c r="H24" s="29" t="str">
        <f>IFERROR(INDEX('BASE DE DATOS'!$G$5:$G$152,MATCH(20,'BASE DE DATOS'!$Z$5:$Z$152,0)),"")</f>
        <v/>
      </c>
      <c r="I24" s="14" t="str">
        <f>IFERROR(INDEX('BASE DE DATOS'!$P$5:$P$152,MATCH(20,'BASE DE DATOS'!$Z$5:$Z$152,0)),"")</f>
        <v/>
      </c>
      <c r="J24" s="26" t="str">
        <f>IFERROR(INDEX('BASE DE DATOS'!$Q$5:$Q$152,MATCH(20,'BASE DE DATOS'!$Z$5:$Z$152,0)),"")</f>
        <v/>
      </c>
      <c r="K24" s="28" t="str">
        <f>IFERROR(INDEX('BASE DE DATOS'!$R$5:$R$152,MATCH(20,'BASE DE DATOS'!$Z$5:$Z$152,0)),"")</f>
        <v/>
      </c>
      <c r="L24" s="28" t="str">
        <f>IFERROR(INDEX('BASE DE DATOS'!$S$5:$S$152,MATCH(20,'BASE DE DATOS'!$Z$5:$Z$152,0)),"")</f>
        <v/>
      </c>
      <c r="M24" s="28" t="str">
        <f>IFERROR(INDEX('BASE DE DATOS'!$T$5:$T$152,MATCH(20,'BASE DE DATOS'!$Z$5:$Z$152,0)),"")</f>
        <v/>
      </c>
      <c r="N24" s="27" t="str">
        <f>IFERROR(INDEX('BASE DE DATOS'!$W$5:$W$152,MATCH(20,'BASE DE DATOS'!$Z$5:$Z$152,0)),"")</f>
        <v/>
      </c>
      <c r="O24" s="28" t="str">
        <f>IFERROR(INDEX('BASE DE DATOS'!$U$5:$U$152,MATCH(20,'BASE DE DATOS'!$Z$5:$Z$152,0)),"")</f>
        <v/>
      </c>
    </row>
    <row r="25" spans="1:15" x14ac:dyDescent="0.3">
      <c r="A25" s="9">
        <v>21</v>
      </c>
      <c r="B25" s="28" t="str">
        <f>IFERROR(INDEX('BASE DE DATOS'!$A$5:$A$152,MATCH(21,'BASE DE DATOS'!$Z$5:$Z$152,0)),"")</f>
        <v/>
      </c>
      <c r="C25" s="27" t="str">
        <f>IFERROR(INDEX('BASE DE DATOS'!$B$5:$B$152,MATCH(21,'BASE DE DATOS'!$Z$5:$Z$152,0)),"")</f>
        <v/>
      </c>
      <c r="D25" s="28" t="str">
        <f>IFERROR(INDEX('BASE DE DATOS'!$C$5:$C$152,MATCH(21,'BASE DE DATOS'!$Z$5:$Z$152,0)),"")</f>
        <v/>
      </c>
      <c r="E25" s="28" t="str">
        <f>IFERROR(INDEX('BASE DE DATOS'!$D$5:$D$152,MATCH(21,'BASE DE DATOS'!$Z$5:$Z$152,0)),"")</f>
        <v/>
      </c>
      <c r="F25" s="28" t="str">
        <f>IFERROR(INDEX('BASE DE DATOS'!$E$5:$E$152,MATCH(21,'BASE DE DATOS'!$Z$5:$Z$152,0)),"")</f>
        <v/>
      </c>
      <c r="G25" s="27" t="str">
        <f>IFERROR(INDEX('BASE DE DATOS'!$F$5:$F$152,MATCH(21,'BASE DE DATOS'!$Z$5:$Z$152,0)),"")</f>
        <v/>
      </c>
      <c r="H25" s="29" t="str">
        <f>IFERROR(INDEX('BASE DE DATOS'!$G$5:$G$152,MATCH(21,'BASE DE DATOS'!$Z$5:$Z$152,0)),"")</f>
        <v/>
      </c>
      <c r="I25" s="14" t="str">
        <f>IFERROR(INDEX('BASE DE DATOS'!$P$5:$P$152,MATCH(21,'BASE DE DATOS'!$Z$5:$Z$152,0)),"")</f>
        <v/>
      </c>
      <c r="J25" s="26" t="str">
        <f>IFERROR(INDEX('BASE DE DATOS'!$Q$5:$Q$152,MATCH(21,'BASE DE DATOS'!$Z$5:$Z$152,0)),"")</f>
        <v/>
      </c>
      <c r="K25" s="28" t="str">
        <f>IFERROR(INDEX('BASE DE DATOS'!$R$5:$R$152,MATCH(21,'BASE DE DATOS'!$Z$5:$Z$152,0)),"")</f>
        <v/>
      </c>
      <c r="L25" s="28" t="str">
        <f>IFERROR(INDEX('BASE DE DATOS'!$S$5:$S$152,MATCH(21,'BASE DE DATOS'!$Z$5:$Z$152,0)),"")</f>
        <v/>
      </c>
      <c r="M25" s="28" t="str">
        <f>IFERROR(INDEX('BASE DE DATOS'!$T$5:$T$152,MATCH(21,'BASE DE DATOS'!$Z$5:$Z$152,0)),"")</f>
        <v/>
      </c>
      <c r="N25" s="27" t="str">
        <f>IFERROR(INDEX('BASE DE DATOS'!$W$5:$W$152,MATCH(21,'BASE DE DATOS'!$Z$5:$Z$152,0)),"")</f>
        <v/>
      </c>
      <c r="O25" s="28" t="str">
        <f>IFERROR(INDEX('BASE DE DATOS'!$U$5:$U$152,MATCH(21,'BASE DE DATOS'!$Z$5:$Z$152,0)),"")</f>
        <v/>
      </c>
    </row>
    <row r="26" spans="1:15" x14ac:dyDescent="0.3">
      <c r="A26" s="9">
        <v>22</v>
      </c>
      <c r="B26" s="28" t="str">
        <f>IFERROR(INDEX('BASE DE DATOS'!$A$5:$A$152,MATCH(22,'BASE DE DATOS'!$Z$5:$Z$152,0)),"")</f>
        <v/>
      </c>
      <c r="C26" s="27" t="str">
        <f>IFERROR(INDEX('BASE DE DATOS'!$B$5:$B$152,MATCH(22,'BASE DE DATOS'!$Z$5:$Z$152,0)),"")</f>
        <v/>
      </c>
      <c r="D26" s="28" t="str">
        <f>IFERROR(INDEX('BASE DE DATOS'!$C$5:$C$152,MATCH(22,'BASE DE DATOS'!$Z$5:$Z$152,0)),"")</f>
        <v/>
      </c>
      <c r="E26" s="28" t="str">
        <f>IFERROR(INDEX('BASE DE DATOS'!$D$5:$D$152,MATCH(22,'BASE DE DATOS'!$Z$5:$Z$152,0)),"")</f>
        <v/>
      </c>
      <c r="F26" s="28" t="str">
        <f>IFERROR(INDEX('BASE DE DATOS'!$E$5:$E$152,MATCH(22,'BASE DE DATOS'!$Z$5:$Z$152,0)),"")</f>
        <v/>
      </c>
      <c r="G26" s="27" t="str">
        <f>IFERROR(INDEX('BASE DE DATOS'!$F$5:$F$152,MATCH(22,'BASE DE DATOS'!$Z$5:$Z$152,0)),"")</f>
        <v/>
      </c>
      <c r="H26" s="29" t="str">
        <f>IFERROR(INDEX('BASE DE DATOS'!$G$5:$G$152,MATCH(22,'BASE DE DATOS'!$Z$5:$Z$152,0)),"")</f>
        <v/>
      </c>
      <c r="I26" s="14" t="str">
        <f>IFERROR(INDEX('BASE DE DATOS'!$P$5:$P$152,MATCH(22,'BASE DE DATOS'!$Z$5:$Z$152,0)),"")</f>
        <v/>
      </c>
      <c r="J26" s="26" t="str">
        <f>IFERROR(INDEX('BASE DE DATOS'!$Q$5:$Q$152,MATCH(22,'BASE DE DATOS'!$Z$5:$Z$152,0)),"")</f>
        <v/>
      </c>
      <c r="K26" s="28" t="str">
        <f>IFERROR(INDEX('BASE DE DATOS'!$R$5:$R$152,MATCH(22,'BASE DE DATOS'!$Z$5:$Z$152,0)),"")</f>
        <v/>
      </c>
      <c r="L26" s="28" t="str">
        <f>IFERROR(INDEX('BASE DE DATOS'!$S$5:$S$152,MATCH(22,'BASE DE DATOS'!$Z$5:$Z$152,0)),"")</f>
        <v/>
      </c>
      <c r="M26" s="28" t="str">
        <f>IFERROR(INDEX('BASE DE DATOS'!$T$5:$T$152,MATCH(22,'BASE DE DATOS'!$Z$5:$Z$152,0)),"")</f>
        <v/>
      </c>
      <c r="N26" s="27" t="str">
        <f>IFERROR(INDEX('BASE DE DATOS'!$W$5:$W$152,MATCH(22,'BASE DE DATOS'!$Z$5:$Z$152,0)),"")</f>
        <v/>
      </c>
      <c r="O26" s="28" t="str">
        <f>IFERROR(INDEX('BASE DE DATOS'!$U$5:$U$152,MATCH(22,'BASE DE DATOS'!$Z$5:$Z$152,0)),"")</f>
        <v/>
      </c>
    </row>
    <row r="27" spans="1:15" x14ac:dyDescent="0.3">
      <c r="A27" s="9">
        <v>23</v>
      </c>
      <c r="B27" s="28" t="str">
        <f>IFERROR(INDEX('BASE DE DATOS'!$A$5:$A$152,MATCH(23,'BASE DE DATOS'!$Z$5:$Z$152,0)),"")</f>
        <v/>
      </c>
      <c r="C27" s="27" t="str">
        <f>IFERROR(INDEX('BASE DE DATOS'!$B$5:$B$152,MATCH(23,'BASE DE DATOS'!$Z$5:$Z$152,0)),"")</f>
        <v/>
      </c>
      <c r="D27" s="28" t="str">
        <f>IFERROR(INDEX('BASE DE DATOS'!$C$5:$C$152,MATCH(23,'BASE DE DATOS'!$Z$5:$Z$152,0)),"")</f>
        <v/>
      </c>
      <c r="E27" s="28" t="str">
        <f>IFERROR(INDEX('BASE DE DATOS'!$D$5:$D$152,MATCH(23,'BASE DE DATOS'!$Z$5:$Z$152,0)),"")</f>
        <v/>
      </c>
      <c r="F27" s="28" t="str">
        <f>IFERROR(INDEX('BASE DE DATOS'!$E$5:$E$152,MATCH(23,'BASE DE DATOS'!$Z$5:$Z$152,0)),"")</f>
        <v/>
      </c>
      <c r="G27" s="27" t="str">
        <f>IFERROR(INDEX('BASE DE DATOS'!$F$5:$F$152,MATCH(23,'BASE DE DATOS'!$Z$5:$Z$152,0)),"")</f>
        <v/>
      </c>
      <c r="H27" s="29" t="str">
        <f>IFERROR(INDEX('BASE DE DATOS'!$G$5:$G$152,MATCH(23,'BASE DE DATOS'!$Z$5:$Z$152,0)),"")</f>
        <v/>
      </c>
      <c r="I27" s="14" t="str">
        <f>IFERROR(INDEX('BASE DE DATOS'!$P$5:$P$152,MATCH(23,'BASE DE DATOS'!$Z$5:$Z$152,0)),"")</f>
        <v/>
      </c>
      <c r="J27" s="26" t="str">
        <f>IFERROR(INDEX('BASE DE DATOS'!$Q$5:$Q$152,MATCH(23,'BASE DE DATOS'!$Z$5:$Z$152,0)),"")</f>
        <v/>
      </c>
      <c r="K27" s="28" t="str">
        <f>IFERROR(INDEX('BASE DE DATOS'!$R$5:$R$152,MATCH(23,'BASE DE DATOS'!$Z$5:$Z$152,0)),"")</f>
        <v/>
      </c>
      <c r="L27" s="28" t="str">
        <f>IFERROR(INDEX('BASE DE DATOS'!$S$5:$S$152,MATCH(23,'BASE DE DATOS'!$Z$5:$Z$152,0)),"")</f>
        <v/>
      </c>
      <c r="M27" s="28" t="str">
        <f>IFERROR(INDEX('BASE DE DATOS'!$T$5:$T$152,MATCH(23,'BASE DE DATOS'!$Z$5:$Z$152,0)),"")</f>
        <v/>
      </c>
      <c r="N27" s="27" t="str">
        <f>IFERROR(INDEX('BASE DE DATOS'!$W$5:$W$152,MATCH(23,'BASE DE DATOS'!$Z$5:$Z$152,0)),"")</f>
        <v/>
      </c>
      <c r="O27" s="28" t="str">
        <f>IFERROR(INDEX('BASE DE DATOS'!$U$5:$U$152,MATCH(23,'BASE DE DATOS'!$Z$5:$Z$152,0)),"")</f>
        <v/>
      </c>
    </row>
    <row r="28" spans="1:15" x14ac:dyDescent="0.3">
      <c r="A28" s="9">
        <v>24</v>
      </c>
      <c r="B28" s="28" t="str">
        <f>IFERROR(INDEX('BASE DE DATOS'!$A$5:$A$152,MATCH(24,'BASE DE DATOS'!$Z$5:$Z$152,0)),"")</f>
        <v/>
      </c>
      <c r="C28" s="27" t="str">
        <f>IFERROR(INDEX('BASE DE DATOS'!$B$5:$B$152,MATCH(24,'BASE DE DATOS'!$Z$5:$Z$152,0)),"")</f>
        <v/>
      </c>
      <c r="D28" s="28" t="str">
        <f>IFERROR(INDEX('BASE DE DATOS'!$C$5:$C$152,MATCH(24,'BASE DE DATOS'!$Z$5:$Z$152,0)),"")</f>
        <v/>
      </c>
      <c r="E28" s="28" t="str">
        <f>IFERROR(INDEX('BASE DE DATOS'!$D$5:$D$152,MATCH(24,'BASE DE DATOS'!$Z$5:$Z$152,0)),"")</f>
        <v/>
      </c>
      <c r="F28" s="28" t="str">
        <f>IFERROR(INDEX('BASE DE DATOS'!$E$5:$E$152,MATCH(24,'BASE DE DATOS'!$Z$5:$Z$152,0)),"")</f>
        <v/>
      </c>
      <c r="G28" s="27" t="str">
        <f>IFERROR(INDEX('BASE DE DATOS'!$F$5:$F$152,MATCH(24,'BASE DE DATOS'!$Z$5:$Z$152,0)),"")</f>
        <v/>
      </c>
      <c r="H28" s="29" t="str">
        <f>IFERROR(INDEX('BASE DE DATOS'!$G$5:$G$152,MATCH(24,'BASE DE DATOS'!$Z$5:$Z$152,0)),"")</f>
        <v/>
      </c>
      <c r="I28" s="14" t="str">
        <f>IFERROR(INDEX('BASE DE DATOS'!$P$5:$P$152,MATCH(24,'BASE DE DATOS'!$Z$5:$Z$152,0)),"")</f>
        <v/>
      </c>
      <c r="J28" s="26" t="str">
        <f>IFERROR(INDEX('BASE DE DATOS'!$Q$5:$Q$152,MATCH(24,'BASE DE DATOS'!$Z$5:$Z$152,0)),"")</f>
        <v/>
      </c>
      <c r="K28" s="28" t="str">
        <f>IFERROR(INDEX('BASE DE DATOS'!$R$5:$R$152,MATCH(24,'BASE DE DATOS'!$Z$5:$Z$152,0)),"")</f>
        <v/>
      </c>
      <c r="L28" s="28" t="str">
        <f>IFERROR(INDEX('BASE DE DATOS'!$S$5:$S$152,MATCH(24,'BASE DE DATOS'!$Z$5:$Z$152,0)),"")</f>
        <v/>
      </c>
      <c r="M28" s="28" t="str">
        <f>IFERROR(INDEX('BASE DE DATOS'!$T$5:$T$152,MATCH(24,'BASE DE DATOS'!$Z$5:$Z$152,0)),"")</f>
        <v/>
      </c>
      <c r="N28" s="27" t="str">
        <f>IFERROR(INDEX('BASE DE DATOS'!$W$5:$W$152,MATCH(24,'BASE DE DATOS'!$Z$5:$Z$152,0)),"")</f>
        <v/>
      </c>
      <c r="O28" s="28" t="str">
        <f>IFERROR(INDEX('BASE DE DATOS'!$U$5:$U$152,MATCH(24,'BASE DE DATOS'!$Z$5:$Z$152,0)),"")</f>
        <v/>
      </c>
    </row>
    <row r="29" spans="1:15" x14ac:dyDescent="0.3">
      <c r="A29" s="9">
        <v>25</v>
      </c>
      <c r="B29" s="28" t="str">
        <f>IFERROR(INDEX('BASE DE DATOS'!$A$5:$A$152,MATCH(25,'BASE DE DATOS'!$Z$5:$Z$152,0)),"")</f>
        <v/>
      </c>
      <c r="C29" s="27" t="str">
        <f>IFERROR(INDEX('BASE DE DATOS'!$B$5:$B$152,MATCH(25,'BASE DE DATOS'!$Z$5:$Z$152,0)),"")</f>
        <v/>
      </c>
      <c r="D29" s="28" t="str">
        <f>IFERROR(INDEX('BASE DE DATOS'!$C$5:$C$152,MATCH(25,'BASE DE DATOS'!$Z$5:$Z$152,0)),"")</f>
        <v/>
      </c>
      <c r="E29" s="28" t="str">
        <f>IFERROR(INDEX('BASE DE DATOS'!$D$5:$D$152,MATCH(25,'BASE DE DATOS'!$Z$5:$Z$152,0)),"")</f>
        <v/>
      </c>
      <c r="F29" s="28" t="str">
        <f>IFERROR(INDEX('BASE DE DATOS'!$E$5:$E$152,MATCH(25,'BASE DE DATOS'!$Z$5:$Z$152,0)),"")</f>
        <v/>
      </c>
      <c r="G29" s="27" t="str">
        <f>IFERROR(INDEX('BASE DE DATOS'!$F$5:$F$152,MATCH(25,'BASE DE DATOS'!$Z$5:$Z$152,0)),"")</f>
        <v/>
      </c>
      <c r="H29" s="29" t="str">
        <f>IFERROR(INDEX('BASE DE DATOS'!$G$5:$G$152,MATCH(25,'BASE DE DATOS'!$Z$5:$Z$152,0)),"")</f>
        <v/>
      </c>
      <c r="I29" s="14" t="str">
        <f>IFERROR(INDEX('BASE DE DATOS'!$P$5:$P$152,MATCH(25,'BASE DE DATOS'!$Z$5:$Z$152,0)),"")</f>
        <v/>
      </c>
      <c r="J29" s="26" t="str">
        <f>IFERROR(INDEX('BASE DE DATOS'!$Q$5:$Q$152,MATCH(25,'BASE DE DATOS'!$Z$5:$Z$152,0)),"")</f>
        <v/>
      </c>
      <c r="K29" s="28" t="str">
        <f>IFERROR(INDEX('BASE DE DATOS'!$R$5:$R$152,MATCH(25,'BASE DE DATOS'!$Z$5:$Z$152,0)),"")</f>
        <v/>
      </c>
      <c r="L29" s="28" t="str">
        <f>IFERROR(INDEX('BASE DE DATOS'!$S$5:$S$152,MATCH(25,'BASE DE DATOS'!$Z$5:$Z$152,0)),"")</f>
        <v/>
      </c>
      <c r="M29" s="28" t="str">
        <f>IFERROR(INDEX('BASE DE DATOS'!$T$5:$T$152,MATCH(25,'BASE DE DATOS'!$Z$5:$Z$152,0)),"")</f>
        <v/>
      </c>
      <c r="N29" s="27" t="str">
        <f>IFERROR(INDEX('BASE DE DATOS'!$W$5:$W$152,MATCH(25,'BASE DE DATOS'!$Z$5:$Z$152,0)),"")</f>
        <v/>
      </c>
      <c r="O29" s="28" t="str">
        <f>IFERROR(INDEX('BASE DE DATOS'!$U$5:$U$152,MATCH(25,'BASE DE DATOS'!$Z$5:$Z$152,0)),"")</f>
        <v/>
      </c>
    </row>
    <row r="30" spans="1:15" x14ac:dyDescent="0.3">
      <c r="A30" s="9">
        <v>26</v>
      </c>
      <c r="B30" s="28" t="str">
        <f>IFERROR(INDEX('BASE DE DATOS'!$A$5:$A$152,MATCH(26,'BASE DE DATOS'!$Z$5:$Z$152,0)),"")</f>
        <v/>
      </c>
      <c r="C30" s="27" t="str">
        <f>IFERROR(INDEX('BASE DE DATOS'!$B$5:$B$152,MATCH(26,'BASE DE DATOS'!$Z$5:$Z$152,0)),"")</f>
        <v/>
      </c>
      <c r="D30" s="28" t="str">
        <f>IFERROR(INDEX('BASE DE DATOS'!$C$5:$C$152,MATCH(26,'BASE DE DATOS'!$Z$5:$Z$152,0)),"")</f>
        <v/>
      </c>
      <c r="E30" s="28" t="str">
        <f>IFERROR(INDEX('BASE DE DATOS'!$D$5:$D$152,MATCH(26,'BASE DE DATOS'!$Z$5:$Z$152,0)),"")</f>
        <v/>
      </c>
      <c r="F30" s="28" t="str">
        <f>IFERROR(INDEX('BASE DE DATOS'!$E$5:$E$152,MATCH(26,'BASE DE DATOS'!$Z$5:$Z$152,0)),"")</f>
        <v/>
      </c>
      <c r="G30" s="27" t="str">
        <f>IFERROR(INDEX('BASE DE DATOS'!$F$5:$F$152,MATCH(26,'BASE DE DATOS'!$Z$5:$Z$152,0)),"")</f>
        <v/>
      </c>
      <c r="H30" s="29" t="str">
        <f>IFERROR(INDEX('BASE DE DATOS'!$G$5:$G$152,MATCH(26,'BASE DE DATOS'!$Z$5:$Z$152,0)),"")</f>
        <v/>
      </c>
      <c r="I30" s="14" t="str">
        <f>IFERROR(INDEX('BASE DE DATOS'!$P$5:$P$152,MATCH(26,'BASE DE DATOS'!$Z$5:$Z$152,0)),"")</f>
        <v/>
      </c>
      <c r="J30" s="26" t="str">
        <f>IFERROR(INDEX('BASE DE DATOS'!$Q$5:$Q$152,MATCH(26,'BASE DE DATOS'!$Z$5:$Z$152,0)),"")</f>
        <v/>
      </c>
      <c r="K30" s="28" t="str">
        <f>IFERROR(INDEX('BASE DE DATOS'!$R$5:$R$152,MATCH(26,'BASE DE DATOS'!$Z$5:$Z$152,0)),"")</f>
        <v/>
      </c>
      <c r="L30" s="28" t="str">
        <f>IFERROR(INDEX('BASE DE DATOS'!$S$5:$S$152,MATCH(26,'BASE DE DATOS'!$Z$5:$Z$152,0)),"")</f>
        <v/>
      </c>
      <c r="M30" s="28" t="str">
        <f>IFERROR(INDEX('BASE DE DATOS'!$T$5:$T$152,MATCH(26,'BASE DE DATOS'!$Z$5:$Z$152,0)),"")</f>
        <v/>
      </c>
      <c r="N30" s="27" t="str">
        <f>IFERROR(INDEX('BASE DE DATOS'!$W$5:$W$152,MATCH(26,'BASE DE DATOS'!$Z$5:$Z$152,0)),"")</f>
        <v/>
      </c>
      <c r="O30" s="28" t="str">
        <f>IFERROR(INDEX('BASE DE DATOS'!$U$5:$U$152,MATCH(26,'BASE DE DATOS'!$Z$5:$Z$152,0)),"")</f>
        <v/>
      </c>
    </row>
    <row r="31" spans="1:15" x14ac:dyDescent="0.3">
      <c r="A31" s="9">
        <v>27</v>
      </c>
      <c r="B31" s="28" t="str">
        <f>IFERROR(INDEX('BASE DE DATOS'!$A$5:$A$152,MATCH(27,'BASE DE DATOS'!$Z$5:$Z$152,0)),"")</f>
        <v/>
      </c>
      <c r="C31" s="27" t="str">
        <f>IFERROR(INDEX('BASE DE DATOS'!$B$5:$B$152,MATCH(27,'BASE DE DATOS'!$Z$5:$Z$152,0)),"")</f>
        <v/>
      </c>
      <c r="D31" s="28" t="str">
        <f>IFERROR(INDEX('BASE DE DATOS'!$C$5:$C$152,MATCH(27,'BASE DE DATOS'!$Z$5:$Z$152,0)),"")</f>
        <v/>
      </c>
      <c r="E31" s="28" t="str">
        <f>IFERROR(INDEX('BASE DE DATOS'!$D$5:$D$152,MATCH(27,'BASE DE DATOS'!$Z$5:$Z$152,0)),"")</f>
        <v/>
      </c>
      <c r="F31" s="28" t="str">
        <f>IFERROR(INDEX('BASE DE DATOS'!$E$5:$E$152,MATCH(27,'BASE DE DATOS'!$Z$5:$Z$152,0)),"")</f>
        <v/>
      </c>
      <c r="G31" s="27" t="str">
        <f>IFERROR(INDEX('BASE DE DATOS'!$F$5:$F$152,MATCH(27,'BASE DE DATOS'!$Z$5:$Z$152,0)),"")</f>
        <v/>
      </c>
      <c r="H31" s="29" t="str">
        <f>IFERROR(INDEX('BASE DE DATOS'!$G$5:$G$152,MATCH(27,'BASE DE DATOS'!$Z$5:$Z$152,0)),"")</f>
        <v/>
      </c>
      <c r="I31" s="14" t="str">
        <f>IFERROR(INDEX('BASE DE DATOS'!$P$5:$P$152,MATCH(27,'BASE DE DATOS'!$Z$5:$Z$152,0)),"")</f>
        <v/>
      </c>
      <c r="J31" s="26" t="str">
        <f>IFERROR(INDEX('BASE DE DATOS'!$Q$5:$Q$152,MATCH(27,'BASE DE DATOS'!$Z$5:$Z$152,0)),"")</f>
        <v/>
      </c>
      <c r="K31" s="28" t="str">
        <f>IFERROR(INDEX('BASE DE DATOS'!$R$5:$R$152,MATCH(27,'BASE DE DATOS'!$Z$5:$Z$152,0)),"")</f>
        <v/>
      </c>
      <c r="L31" s="28" t="str">
        <f>IFERROR(INDEX('BASE DE DATOS'!$S$5:$S$152,MATCH(27,'BASE DE DATOS'!$Z$5:$Z$152,0)),"")</f>
        <v/>
      </c>
      <c r="M31" s="28" t="str">
        <f>IFERROR(INDEX('BASE DE DATOS'!$T$5:$T$152,MATCH(27,'BASE DE DATOS'!$Z$5:$Z$152,0)),"")</f>
        <v/>
      </c>
      <c r="N31" s="27" t="str">
        <f>IFERROR(INDEX('BASE DE DATOS'!$W$5:$W$152,MATCH(27,'BASE DE DATOS'!$Z$5:$Z$152,0)),"")</f>
        <v/>
      </c>
      <c r="O31" s="28" t="str">
        <f>IFERROR(INDEX('BASE DE DATOS'!$U$5:$U$152,MATCH(27,'BASE DE DATOS'!$Z$5:$Z$152,0)),"")</f>
        <v/>
      </c>
    </row>
    <row r="32" spans="1:15" x14ac:dyDescent="0.3">
      <c r="A32" s="9">
        <v>28</v>
      </c>
      <c r="B32" s="28" t="str">
        <f>IFERROR(INDEX('BASE DE DATOS'!$A$5:$A$152,MATCH(28,'BASE DE DATOS'!$Z$5:$Z$152,0)),"")</f>
        <v/>
      </c>
      <c r="C32" s="27" t="str">
        <f>IFERROR(INDEX('BASE DE DATOS'!$B$5:$B$152,MATCH(28,'BASE DE DATOS'!$Z$5:$Z$152,0)),"")</f>
        <v/>
      </c>
      <c r="D32" s="28" t="str">
        <f>IFERROR(INDEX('BASE DE DATOS'!$C$5:$C$152,MATCH(28,'BASE DE DATOS'!$Z$5:$Z$152,0)),"")</f>
        <v/>
      </c>
      <c r="E32" s="28" t="str">
        <f>IFERROR(INDEX('BASE DE DATOS'!$D$5:$D$152,MATCH(28,'BASE DE DATOS'!$Z$5:$Z$152,0)),"")</f>
        <v/>
      </c>
      <c r="F32" s="28" t="str">
        <f>IFERROR(INDEX('BASE DE DATOS'!$E$5:$E$152,MATCH(28,'BASE DE DATOS'!$Z$5:$Z$152,0)),"")</f>
        <v/>
      </c>
      <c r="G32" s="27" t="str">
        <f>IFERROR(INDEX('BASE DE DATOS'!$F$5:$F$152,MATCH(28,'BASE DE DATOS'!$Z$5:$Z$152,0)),"")</f>
        <v/>
      </c>
      <c r="H32" s="29" t="str">
        <f>IFERROR(INDEX('BASE DE DATOS'!$G$5:$G$152,MATCH(28,'BASE DE DATOS'!$Z$5:$Z$152,0)),"")</f>
        <v/>
      </c>
      <c r="I32" s="14" t="str">
        <f>IFERROR(INDEX('BASE DE DATOS'!$P$5:$P$152,MATCH(28,'BASE DE DATOS'!$Z$5:$Z$152,0)),"")</f>
        <v/>
      </c>
      <c r="J32" s="26" t="str">
        <f>IFERROR(INDEX('BASE DE DATOS'!$Q$5:$Q$152,MATCH(28,'BASE DE DATOS'!$Z$5:$Z$152,0)),"")</f>
        <v/>
      </c>
      <c r="K32" s="28" t="str">
        <f>IFERROR(INDEX('BASE DE DATOS'!$R$5:$R$152,MATCH(28,'BASE DE DATOS'!$Z$5:$Z$152,0)),"")</f>
        <v/>
      </c>
      <c r="L32" s="28" t="str">
        <f>IFERROR(INDEX('BASE DE DATOS'!$S$5:$S$152,MATCH(28,'BASE DE DATOS'!$Z$5:$Z$152,0)),"")</f>
        <v/>
      </c>
      <c r="M32" s="28" t="str">
        <f>IFERROR(INDEX('BASE DE DATOS'!$T$5:$T$152,MATCH(28,'BASE DE DATOS'!$Z$5:$Z$152,0)),"")</f>
        <v/>
      </c>
      <c r="N32" s="27" t="str">
        <f>IFERROR(INDEX('BASE DE DATOS'!$W$5:$W$152,MATCH(28,'BASE DE DATOS'!$Z$5:$Z$152,0)),"")</f>
        <v/>
      </c>
      <c r="O32" s="28" t="str">
        <f>IFERROR(INDEX('BASE DE DATOS'!$U$5:$U$152,MATCH(28,'BASE DE DATOS'!$Z$5:$Z$152,0)),"")</f>
        <v/>
      </c>
    </row>
    <row r="33" spans="1:15" x14ac:dyDescent="0.3">
      <c r="A33" s="9">
        <v>29</v>
      </c>
      <c r="B33" s="28" t="str">
        <f>IFERROR(INDEX('BASE DE DATOS'!$A$5:$A$152,MATCH(29,'BASE DE DATOS'!$Z$5:$Z$152,0)),"")</f>
        <v/>
      </c>
      <c r="C33" s="27" t="str">
        <f>IFERROR(INDEX('BASE DE DATOS'!$B$5:$B$152,MATCH(29,'BASE DE DATOS'!$Z$5:$Z$152,0)),"")</f>
        <v/>
      </c>
      <c r="D33" s="28" t="str">
        <f>IFERROR(INDEX('BASE DE DATOS'!$C$5:$C$152,MATCH(29,'BASE DE DATOS'!$Z$5:$Z$152,0)),"")</f>
        <v/>
      </c>
      <c r="E33" s="28" t="str">
        <f>IFERROR(INDEX('BASE DE DATOS'!$D$5:$D$152,MATCH(29,'BASE DE DATOS'!$Z$5:$Z$152,0)),"")</f>
        <v/>
      </c>
      <c r="F33" s="28" t="str">
        <f>IFERROR(INDEX('BASE DE DATOS'!$E$5:$E$152,MATCH(29,'BASE DE DATOS'!$Z$5:$Z$152,0)),"")</f>
        <v/>
      </c>
      <c r="G33" s="27" t="str">
        <f>IFERROR(INDEX('BASE DE DATOS'!$F$5:$F$152,MATCH(29,'BASE DE DATOS'!$Z$5:$Z$152,0)),"")</f>
        <v/>
      </c>
      <c r="H33" s="29" t="str">
        <f>IFERROR(INDEX('BASE DE DATOS'!$G$5:$G$152,MATCH(29,'BASE DE DATOS'!$Z$5:$Z$152,0)),"")</f>
        <v/>
      </c>
      <c r="I33" s="14" t="str">
        <f>IFERROR(INDEX('BASE DE DATOS'!$P$5:$P$152,MATCH(29,'BASE DE DATOS'!$Z$5:$Z$152,0)),"")</f>
        <v/>
      </c>
      <c r="J33" s="26" t="str">
        <f>IFERROR(INDEX('BASE DE DATOS'!$Q$5:$Q$152,MATCH(29,'BASE DE DATOS'!$Z$5:$Z$152,0)),"")</f>
        <v/>
      </c>
      <c r="K33" s="28" t="str">
        <f>IFERROR(INDEX('BASE DE DATOS'!$R$5:$R$152,MATCH(29,'BASE DE DATOS'!$Z$5:$Z$152,0)),"")</f>
        <v/>
      </c>
      <c r="L33" s="28" t="str">
        <f>IFERROR(INDEX('BASE DE DATOS'!$S$5:$S$152,MATCH(29,'BASE DE DATOS'!$Z$5:$Z$152,0)),"")</f>
        <v/>
      </c>
      <c r="M33" s="28" t="str">
        <f>IFERROR(INDEX('BASE DE DATOS'!$T$5:$T$152,MATCH(29,'BASE DE DATOS'!$Z$5:$Z$152,0)),"")</f>
        <v/>
      </c>
      <c r="N33" s="27" t="str">
        <f>IFERROR(INDEX('BASE DE DATOS'!$W$5:$W$152,MATCH(29,'BASE DE DATOS'!$Z$5:$Z$152,0)),"")</f>
        <v/>
      </c>
      <c r="O33" s="28" t="str">
        <f>IFERROR(INDEX('BASE DE DATOS'!$U$5:$U$152,MATCH(29,'BASE DE DATOS'!$Z$5:$Z$152,0)),"")</f>
        <v/>
      </c>
    </row>
    <row r="34" spans="1:15" x14ac:dyDescent="0.3">
      <c r="A34" s="9">
        <v>30</v>
      </c>
      <c r="B34" s="28" t="str">
        <f>IFERROR(INDEX('BASE DE DATOS'!$A$5:$A$152,MATCH(30,'BASE DE DATOS'!$Z$5:$Z$152,0)),"")</f>
        <v/>
      </c>
      <c r="C34" s="27" t="str">
        <f>IFERROR(INDEX('BASE DE DATOS'!$B$5:$B$152,MATCH(30,'BASE DE DATOS'!$Z$5:$Z$152,0)),"")</f>
        <v/>
      </c>
      <c r="D34" s="28" t="str">
        <f>IFERROR(INDEX('BASE DE DATOS'!$C$5:$C$152,MATCH(30,'BASE DE DATOS'!$Z$5:$Z$152,0)),"")</f>
        <v/>
      </c>
      <c r="E34" s="28" t="str">
        <f>IFERROR(INDEX('BASE DE DATOS'!$D$5:$D$152,MATCH(30,'BASE DE DATOS'!$Z$5:$Z$152,0)),"")</f>
        <v/>
      </c>
      <c r="F34" s="28" t="str">
        <f>IFERROR(INDEX('BASE DE DATOS'!$E$5:$E$152,MATCH(30,'BASE DE DATOS'!$Z$5:$Z$152,0)),"")</f>
        <v/>
      </c>
      <c r="G34" s="27" t="str">
        <f>IFERROR(INDEX('BASE DE DATOS'!$F$5:$F$152,MATCH(30,'BASE DE DATOS'!$Z$5:$Z$152,0)),"")</f>
        <v/>
      </c>
      <c r="H34" s="29" t="str">
        <f>IFERROR(INDEX('BASE DE DATOS'!$G$5:$G$152,MATCH(30,'BASE DE DATOS'!$Z$5:$Z$152,0)),"")</f>
        <v/>
      </c>
      <c r="I34" s="14" t="str">
        <f>IFERROR(INDEX('BASE DE DATOS'!$P$5:$P$152,MATCH(30,'BASE DE DATOS'!$Z$5:$Z$152,0)),"")</f>
        <v/>
      </c>
      <c r="J34" s="26" t="str">
        <f>IFERROR(INDEX('BASE DE DATOS'!$Q$5:$Q$152,MATCH(30,'BASE DE DATOS'!$Z$5:$Z$152,0)),"")</f>
        <v/>
      </c>
      <c r="K34" s="28" t="str">
        <f>IFERROR(INDEX('BASE DE DATOS'!$R$5:$R$152,MATCH(30,'BASE DE DATOS'!$Z$5:$Z$152,0)),"")</f>
        <v/>
      </c>
      <c r="L34" s="28" t="str">
        <f>IFERROR(INDEX('BASE DE DATOS'!$S$5:$S$152,MATCH(30,'BASE DE DATOS'!$Z$5:$Z$152,0)),"")</f>
        <v/>
      </c>
      <c r="M34" s="28" t="str">
        <f>IFERROR(INDEX('BASE DE DATOS'!$T$5:$T$152,MATCH(30,'BASE DE DATOS'!$Z$5:$Z$152,0)),"")</f>
        <v/>
      </c>
      <c r="N34" s="27" t="str">
        <f>IFERROR(INDEX('BASE DE DATOS'!$W$5:$W$152,MATCH(30,'BASE DE DATOS'!$Z$5:$Z$152,0)),"")</f>
        <v/>
      </c>
      <c r="O34" s="28" t="str">
        <f>IFERROR(INDEX('BASE DE DATOS'!$U$5:$U$152,MATCH(30,'BASE DE DATOS'!$Z$5:$Z$152,0)),"")</f>
        <v/>
      </c>
    </row>
    <row r="35" spans="1:15" x14ac:dyDescent="0.3">
      <c r="A35" s="9">
        <v>31</v>
      </c>
      <c r="B35" s="28" t="str">
        <f>IFERROR(INDEX('BASE DE DATOS'!$A$5:$A$152,MATCH(31,'BASE DE DATOS'!$Z$5:$Z$152,0)),"")</f>
        <v/>
      </c>
      <c r="C35" s="27" t="str">
        <f>IFERROR(INDEX('BASE DE DATOS'!$B$5:$B$152,MATCH(31,'BASE DE DATOS'!$Z$5:$Z$152,0)),"")</f>
        <v/>
      </c>
      <c r="D35" s="28" t="str">
        <f>IFERROR(INDEX('BASE DE DATOS'!$C$5:$C$152,MATCH(31,'BASE DE DATOS'!$Z$5:$Z$152,0)),"")</f>
        <v/>
      </c>
      <c r="E35" s="28" t="str">
        <f>IFERROR(INDEX('BASE DE DATOS'!$D$5:$D$152,MATCH(31,'BASE DE DATOS'!$Z$5:$Z$152,0)),"")</f>
        <v/>
      </c>
      <c r="F35" s="28" t="str">
        <f>IFERROR(INDEX('BASE DE DATOS'!$E$5:$E$152,MATCH(31,'BASE DE DATOS'!$Z$5:$Z$152,0)),"")</f>
        <v/>
      </c>
      <c r="G35" s="27" t="str">
        <f>IFERROR(INDEX('BASE DE DATOS'!$F$5:$F$152,MATCH(31,'BASE DE DATOS'!$Z$5:$Z$152,0)),"")</f>
        <v/>
      </c>
      <c r="H35" s="29" t="str">
        <f>IFERROR(INDEX('BASE DE DATOS'!$G$5:$G$152,MATCH(31,'BASE DE DATOS'!$Z$5:$Z$152,0)),"")</f>
        <v/>
      </c>
      <c r="I35" s="14" t="str">
        <f>IFERROR(INDEX('BASE DE DATOS'!$P$5:$P$152,MATCH(31,'BASE DE DATOS'!$Z$5:$Z$152,0)),"")</f>
        <v/>
      </c>
      <c r="J35" s="26" t="str">
        <f>IFERROR(INDEX('BASE DE DATOS'!$Q$5:$Q$152,MATCH(31,'BASE DE DATOS'!$Z$5:$Z$152,0)),"")</f>
        <v/>
      </c>
      <c r="K35" s="28" t="str">
        <f>IFERROR(INDEX('BASE DE DATOS'!$R$5:$R$152,MATCH(31,'BASE DE DATOS'!$Z$5:$Z$152,0)),"")</f>
        <v/>
      </c>
      <c r="L35" s="28" t="str">
        <f>IFERROR(INDEX('BASE DE DATOS'!$S$5:$S$152,MATCH(31,'BASE DE DATOS'!$Z$5:$Z$152,0)),"")</f>
        <v/>
      </c>
      <c r="M35" s="28" t="str">
        <f>IFERROR(INDEX('BASE DE DATOS'!$T$5:$T$152,MATCH(31,'BASE DE DATOS'!$Z$5:$Z$152,0)),"")</f>
        <v/>
      </c>
      <c r="N35" s="27" t="str">
        <f>IFERROR(INDEX('BASE DE DATOS'!$W$5:$W$152,MATCH(31,'BASE DE DATOS'!$Z$5:$Z$152,0)),"")</f>
        <v/>
      </c>
      <c r="O35" s="28" t="str">
        <f>IFERROR(INDEX('BASE DE DATOS'!$U$5:$U$152,MATCH(31,'BASE DE DATOS'!$Z$5:$Z$152,0)),"")</f>
        <v/>
      </c>
    </row>
    <row r="36" spans="1:15" x14ac:dyDescent="0.3">
      <c r="A36" s="9">
        <v>32</v>
      </c>
      <c r="B36" s="28" t="str">
        <f>IFERROR(INDEX('BASE DE DATOS'!$A$5:$A$152,MATCH(32,'BASE DE DATOS'!$Z$5:$Z$152,0)),"")</f>
        <v/>
      </c>
      <c r="C36" s="27" t="str">
        <f>IFERROR(INDEX('BASE DE DATOS'!$B$5:$B$152,MATCH(32,'BASE DE DATOS'!$Z$5:$Z$152,0)),"")</f>
        <v/>
      </c>
      <c r="D36" s="28" t="str">
        <f>IFERROR(INDEX('BASE DE DATOS'!$C$5:$C$152,MATCH(32,'BASE DE DATOS'!$Z$5:$Z$152,0)),"")</f>
        <v/>
      </c>
      <c r="E36" s="28" t="str">
        <f>IFERROR(INDEX('BASE DE DATOS'!$D$5:$D$152,MATCH(32,'BASE DE DATOS'!$Z$5:$Z$152,0)),"")</f>
        <v/>
      </c>
      <c r="F36" s="28" t="str">
        <f>IFERROR(INDEX('BASE DE DATOS'!$E$5:$E$152,MATCH(32,'BASE DE DATOS'!$Z$5:$Z$152,0)),"")</f>
        <v/>
      </c>
      <c r="G36" s="27" t="str">
        <f>IFERROR(INDEX('BASE DE DATOS'!$F$5:$F$152,MATCH(32,'BASE DE DATOS'!$Z$5:$Z$152,0)),"")</f>
        <v/>
      </c>
      <c r="H36" s="29" t="str">
        <f>IFERROR(INDEX('BASE DE DATOS'!$G$5:$G$152,MATCH(32,'BASE DE DATOS'!$Z$5:$Z$152,0)),"")</f>
        <v/>
      </c>
      <c r="I36" s="14" t="str">
        <f>IFERROR(INDEX('BASE DE DATOS'!$P$5:$P$152,MATCH(32,'BASE DE DATOS'!$Z$5:$Z$152,0)),"")</f>
        <v/>
      </c>
      <c r="J36" s="26" t="str">
        <f>IFERROR(INDEX('BASE DE DATOS'!$Q$5:$Q$152,MATCH(32,'BASE DE DATOS'!$Z$5:$Z$152,0)),"")</f>
        <v/>
      </c>
      <c r="K36" s="28" t="str">
        <f>IFERROR(INDEX('BASE DE DATOS'!$R$5:$R$152,MATCH(32,'BASE DE DATOS'!$Z$5:$Z$152,0)),"")</f>
        <v/>
      </c>
      <c r="L36" s="28" t="str">
        <f>IFERROR(INDEX('BASE DE DATOS'!$S$5:$S$152,MATCH(32,'BASE DE DATOS'!$Z$5:$Z$152,0)),"")</f>
        <v/>
      </c>
      <c r="M36" s="28" t="str">
        <f>IFERROR(INDEX('BASE DE DATOS'!$T$5:$T$152,MATCH(32,'BASE DE DATOS'!$Z$5:$Z$152,0)),"")</f>
        <v/>
      </c>
      <c r="N36" s="27" t="str">
        <f>IFERROR(INDEX('BASE DE DATOS'!$W$5:$W$152,MATCH(32,'BASE DE DATOS'!$Z$5:$Z$152,0)),"")</f>
        <v/>
      </c>
      <c r="O36" s="28" t="str">
        <f>IFERROR(INDEX('BASE DE DATOS'!$U$5:$U$152,MATCH(32,'BASE DE DATOS'!$Z$5:$Z$152,0)),"")</f>
        <v/>
      </c>
    </row>
    <row r="37" spans="1:15" x14ac:dyDescent="0.3">
      <c r="A37" s="9">
        <v>33</v>
      </c>
      <c r="B37" s="28" t="str">
        <f>IFERROR(INDEX('BASE DE DATOS'!$A$5:$A$152,MATCH(33,'BASE DE DATOS'!$Z$5:$Z$152,0)),"")</f>
        <v/>
      </c>
      <c r="C37" s="27" t="str">
        <f>IFERROR(INDEX('BASE DE DATOS'!$B$5:$B$152,MATCH(33,'BASE DE DATOS'!$Z$5:$Z$152,0)),"")</f>
        <v/>
      </c>
      <c r="D37" s="28" t="str">
        <f>IFERROR(INDEX('BASE DE DATOS'!$C$5:$C$152,MATCH(33,'BASE DE DATOS'!$Z$5:$Z$152,0)),"")</f>
        <v/>
      </c>
      <c r="E37" s="28" t="str">
        <f>IFERROR(INDEX('BASE DE DATOS'!$D$5:$D$152,MATCH(33,'BASE DE DATOS'!$Z$5:$Z$152,0)),"")</f>
        <v/>
      </c>
      <c r="F37" s="28" t="str">
        <f>IFERROR(INDEX('BASE DE DATOS'!$E$5:$E$152,MATCH(33,'BASE DE DATOS'!$Z$5:$Z$152,0)),"")</f>
        <v/>
      </c>
      <c r="G37" s="27" t="str">
        <f>IFERROR(INDEX('BASE DE DATOS'!$F$5:$F$152,MATCH(33,'BASE DE DATOS'!$Z$5:$Z$152,0)),"")</f>
        <v/>
      </c>
      <c r="H37" s="29" t="str">
        <f>IFERROR(INDEX('BASE DE DATOS'!$G$5:$G$152,MATCH(33,'BASE DE DATOS'!$Z$5:$Z$152,0)),"")</f>
        <v/>
      </c>
      <c r="I37" s="14" t="str">
        <f>IFERROR(INDEX('BASE DE DATOS'!$P$5:$P$152,MATCH(33,'BASE DE DATOS'!$Z$5:$Z$152,0)),"")</f>
        <v/>
      </c>
      <c r="J37" s="26" t="str">
        <f>IFERROR(INDEX('BASE DE DATOS'!$Q$5:$Q$152,MATCH(33,'BASE DE DATOS'!$Z$5:$Z$152,0)),"")</f>
        <v/>
      </c>
      <c r="K37" s="28" t="str">
        <f>IFERROR(INDEX('BASE DE DATOS'!$R$5:$R$152,MATCH(33,'BASE DE DATOS'!$Z$5:$Z$152,0)),"")</f>
        <v/>
      </c>
      <c r="L37" s="28" t="str">
        <f>IFERROR(INDEX('BASE DE DATOS'!$S$5:$S$152,MATCH(33,'BASE DE DATOS'!$Z$5:$Z$152,0)),"")</f>
        <v/>
      </c>
      <c r="M37" s="28" t="str">
        <f>IFERROR(INDEX('BASE DE DATOS'!$T$5:$T$152,MATCH(33,'BASE DE DATOS'!$Z$5:$Z$152,0)),"")</f>
        <v/>
      </c>
      <c r="N37" s="27" t="str">
        <f>IFERROR(INDEX('BASE DE DATOS'!$W$5:$W$152,MATCH(33,'BASE DE DATOS'!$Z$5:$Z$152,0)),"")</f>
        <v/>
      </c>
      <c r="O37" s="28" t="str">
        <f>IFERROR(INDEX('BASE DE DATOS'!$U$5:$U$152,MATCH(33,'BASE DE DATOS'!$Z$5:$Z$152,0)),"")</f>
        <v/>
      </c>
    </row>
    <row r="38" spans="1:15" x14ac:dyDescent="0.3">
      <c r="A38" s="9">
        <v>34</v>
      </c>
      <c r="B38" s="28" t="str">
        <f>IFERROR(INDEX('BASE DE DATOS'!$A$5:$A$152,MATCH(34,'BASE DE DATOS'!$Z$5:$Z$152,0)),"")</f>
        <v/>
      </c>
      <c r="C38" s="27" t="str">
        <f>IFERROR(INDEX('BASE DE DATOS'!$B$5:$B$152,MATCH(34,'BASE DE DATOS'!$Z$5:$Z$152,0)),"")</f>
        <v/>
      </c>
      <c r="D38" s="28" t="str">
        <f>IFERROR(INDEX('BASE DE DATOS'!$C$5:$C$152,MATCH(34,'BASE DE DATOS'!$Z$5:$Z$152,0)),"")</f>
        <v/>
      </c>
      <c r="E38" s="28" t="str">
        <f>IFERROR(INDEX('BASE DE DATOS'!$D$5:$D$152,MATCH(34,'BASE DE DATOS'!$Z$5:$Z$152,0)),"")</f>
        <v/>
      </c>
      <c r="F38" s="28" t="str">
        <f>IFERROR(INDEX('BASE DE DATOS'!$E$5:$E$152,MATCH(34,'BASE DE DATOS'!$Z$5:$Z$152,0)),"")</f>
        <v/>
      </c>
      <c r="G38" s="27" t="str">
        <f>IFERROR(INDEX('BASE DE DATOS'!$F$5:$F$152,MATCH(34,'BASE DE DATOS'!$Z$5:$Z$152,0)),"")</f>
        <v/>
      </c>
      <c r="H38" s="29" t="str">
        <f>IFERROR(INDEX('BASE DE DATOS'!$G$5:$G$152,MATCH(34,'BASE DE DATOS'!$Z$5:$Z$152,0)),"")</f>
        <v/>
      </c>
      <c r="I38" s="14" t="str">
        <f>IFERROR(INDEX('BASE DE DATOS'!$P$5:$P$152,MATCH(34,'BASE DE DATOS'!$Z$5:$Z$152,0)),"")</f>
        <v/>
      </c>
      <c r="J38" s="26" t="str">
        <f>IFERROR(INDEX('BASE DE DATOS'!$Q$5:$Q$152,MATCH(34,'BASE DE DATOS'!$Z$5:$Z$152,0)),"")</f>
        <v/>
      </c>
      <c r="K38" s="28" t="str">
        <f>IFERROR(INDEX('BASE DE DATOS'!$R$5:$R$152,MATCH(34,'BASE DE DATOS'!$Z$5:$Z$152,0)),"")</f>
        <v/>
      </c>
      <c r="L38" s="28" t="str">
        <f>IFERROR(INDEX('BASE DE DATOS'!$S$5:$S$152,MATCH(34,'BASE DE DATOS'!$Z$5:$Z$152,0)),"")</f>
        <v/>
      </c>
      <c r="M38" s="28" t="str">
        <f>IFERROR(INDEX('BASE DE DATOS'!$T$5:$T$152,MATCH(34,'BASE DE DATOS'!$Z$5:$Z$152,0)),"")</f>
        <v/>
      </c>
      <c r="N38" s="27" t="str">
        <f>IFERROR(INDEX('BASE DE DATOS'!$W$5:$W$152,MATCH(34,'BASE DE DATOS'!$Z$5:$Z$152,0)),"")</f>
        <v/>
      </c>
      <c r="O38" s="28" t="str">
        <f>IFERROR(INDEX('BASE DE DATOS'!$U$5:$U$152,MATCH(34,'BASE DE DATOS'!$Z$5:$Z$152,0)),"")</f>
        <v/>
      </c>
    </row>
    <row r="39" spans="1:15" x14ac:dyDescent="0.3">
      <c r="A39" s="9">
        <v>35</v>
      </c>
      <c r="B39" s="28" t="str">
        <f>IFERROR(INDEX('BASE DE DATOS'!$A$5:$A$152,MATCH(35,'BASE DE DATOS'!$Z$5:$Z$152,0)),"")</f>
        <v/>
      </c>
      <c r="C39" s="27" t="str">
        <f>IFERROR(INDEX('BASE DE DATOS'!$B$5:$B$152,MATCH(35,'BASE DE DATOS'!$Z$5:$Z$152,0)),"")</f>
        <v/>
      </c>
      <c r="D39" s="28" t="str">
        <f>IFERROR(INDEX('BASE DE DATOS'!$C$5:$C$152,MATCH(35,'BASE DE DATOS'!$Z$5:$Z$152,0)),"")</f>
        <v/>
      </c>
      <c r="E39" s="28" t="str">
        <f>IFERROR(INDEX('BASE DE DATOS'!$D$5:$D$152,MATCH(35,'BASE DE DATOS'!$Z$5:$Z$152,0)),"")</f>
        <v/>
      </c>
      <c r="F39" s="28" t="str">
        <f>IFERROR(INDEX('BASE DE DATOS'!$E$5:$E$152,MATCH(35,'BASE DE DATOS'!$Z$5:$Z$152,0)),"")</f>
        <v/>
      </c>
      <c r="G39" s="27" t="str">
        <f>IFERROR(INDEX('BASE DE DATOS'!$F$5:$F$152,MATCH(35,'BASE DE DATOS'!$Z$5:$Z$152,0)),"")</f>
        <v/>
      </c>
      <c r="H39" s="29" t="str">
        <f>IFERROR(INDEX('BASE DE DATOS'!$G$5:$G$152,MATCH(35,'BASE DE DATOS'!$Z$5:$Z$152,0)),"")</f>
        <v/>
      </c>
      <c r="I39" s="14" t="str">
        <f>IFERROR(INDEX('BASE DE DATOS'!$P$5:$P$152,MATCH(35,'BASE DE DATOS'!$Z$5:$Z$152,0)),"")</f>
        <v/>
      </c>
      <c r="J39" s="26" t="str">
        <f>IFERROR(INDEX('BASE DE DATOS'!$Q$5:$Q$152,MATCH(35,'BASE DE DATOS'!$Z$5:$Z$152,0)),"")</f>
        <v/>
      </c>
      <c r="K39" s="28" t="str">
        <f>IFERROR(INDEX('BASE DE DATOS'!$R$5:$R$152,MATCH(35,'BASE DE DATOS'!$Z$5:$Z$152,0)),"")</f>
        <v/>
      </c>
      <c r="L39" s="28" t="str">
        <f>IFERROR(INDEX('BASE DE DATOS'!$S$5:$S$152,MATCH(35,'BASE DE DATOS'!$Z$5:$Z$152,0)),"")</f>
        <v/>
      </c>
      <c r="M39" s="28" t="str">
        <f>IFERROR(INDEX('BASE DE DATOS'!$T$5:$T$152,MATCH(35,'BASE DE DATOS'!$Z$5:$Z$152,0)),"")</f>
        <v/>
      </c>
      <c r="N39" s="27" t="str">
        <f>IFERROR(INDEX('BASE DE DATOS'!$W$5:$W$152,MATCH(35,'BASE DE DATOS'!$Z$5:$Z$152,0)),"")</f>
        <v/>
      </c>
      <c r="O39" s="28" t="str">
        <f>IFERROR(INDEX('BASE DE DATOS'!$U$5:$U$152,MATCH(35,'BASE DE DATOS'!$Z$5:$Z$152,0)),"")</f>
        <v/>
      </c>
    </row>
    <row r="40" spans="1:15" x14ac:dyDescent="0.3">
      <c r="A40" s="9">
        <v>36</v>
      </c>
      <c r="B40" s="28" t="str">
        <f>IFERROR(INDEX('BASE DE DATOS'!$A$5:$A$152,MATCH(36,'BASE DE DATOS'!$Z$5:$Z$152,0)),"")</f>
        <v/>
      </c>
      <c r="C40" s="27" t="str">
        <f>IFERROR(INDEX('BASE DE DATOS'!$B$5:$B$152,MATCH(36,'BASE DE DATOS'!$Z$5:$Z$152,0)),"")</f>
        <v/>
      </c>
      <c r="D40" s="28" t="str">
        <f>IFERROR(INDEX('BASE DE DATOS'!$C$5:$C$152,MATCH(36,'BASE DE DATOS'!$Z$5:$Z$152,0)),"")</f>
        <v/>
      </c>
      <c r="E40" s="28" t="str">
        <f>IFERROR(INDEX('BASE DE DATOS'!$D$5:$D$152,MATCH(36,'BASE DE DATOS'!$Z$5:$Z$152,0)),"")</f>
        <v/>
      </c>
      <c r="F40" s="28" t="str">
        <f>IFERROR(INDEX('BASE DE DATOS'!$E$5:$E$152,MATCH(36,'BASE DE DATOS'!$Z$5:$Z$152,0)),"")</f>
        <v/>
      </c>
      <c r="G40" s="27" t="str">
        <f>IFERROR(INDEX('BASE DE DATOS'!$F$5:$F$152,MATCH(36,'BASE DE DATOS'!$Z$5:$Z$152,0)),"")</f>
        <v/>
      </c>
      <c r="H40" s="29" t="str">
        <f>IFERROR(INDEX('BASE DE DATOS'!$G$5:$G$152,MATCH(36,'BASE DE DATOS'!$Z$5:$Z$152,0)),"")</f>
        <v/>
      </c>
      <c r="I40" s="14" t="str">
        <f>IFERROR(INDEX('BASE DE DATOS'!$P$5:$P$152,MATCH(36,'BASE DE DATOS'!$Z$5:$Z$152,0)),"")</f>
        <v/>
      </c>
      <c r="J40" s="26" t="str">
        <f>IFERROR(INDEX('BASE DE DATOS'!$Q$5:$Q$152,MATCH(36,'BASE DE DATOS'!$Z$5:$Z$152,0)),"")</f>
        <v/>
      </c>
      <c r="K40" s="28" t="str">
        <f>IFERROR(INDEX('BASE DE DATOS'!$R$5:$R$152,MATCH(36,'BASE DE DATOS'!$Z$5:$Z$152,0)),"")</f>
        <v/>
      </c>
      <c r="L40" s="28" t="str">
        <f>IFERROR(INDEX('BASE DE DATOS'!$S$5:$S$152,MATCH(36,'BASE DE DATOS'!$Z$5:$Z$152,0)),"")</f>
        <v/>
      </c>
      <c r="M40" s="28" t="str">
        <f>IFERROR(INDEX('BASE DE DATOS'!$T$5:$T$152,MATCH(36,'BASE DE DATOS'!$Z$5:$Z$152,0)),"")</f>
        <v/>
      </c>
      <c r="N40" s="27" t="str">
        <f>IFERROR(INDEX('BASE DE DATOS'!$W$5:$W$152,MATCH(36,'BASE DE DATOS'!$Z$5:$Z$152,0)),"")</f>
        <v/>
      </c>
      <c r="O40" s="28" t="str">
        <f>IFERROR(INDEX('BASE DE DATOS'!$U$5:$U$152,MATCH(36,'BASE DE DATOS'!$Z$5:$Z$152,0)),"")</f>
        <v/>
      </c>
    </row>
    <row r="41" spans="1:15" x14ac:dyDescent="0.3">
      <c r="A41" s="9">
        <v>37</v>
      </c>
      <c r="B41" s="28" t="str">
        <f>IFERROR(INDEX('BASE DE DATOS'!$A$5:$A$152,MATCH(37,'BASE DE DATOS'!$Z$5:$Z$152,0)),"")</f>
        <v/>
      </c>
      <c r="C41" s="27" t="str">
        <f>IFERROR(INDEX('BASE DE DATOS'!$B$5:$B$152,MATCH(37,'BASE DE DATOS'!$Z$5:$Z$152,0)),"")</f>
        <v/>
      </c>
      <c r="D41" s="28" t="str">
        <f>IFERROR(INDEX('BASE DE DATOS'!$C$5:$C$152,MATCH(37,'BASE DE DATOS'!$Z$5:$Z$152,0)),"")</f>
        <v/>
      </c>
      <c r="E41" s="28" t="str">
        <f>IFERROR(INDEX('BASE DE DATOS'!$D$5:$D$152,MATCH(37,'BASE DE DATOS'!$Z$5:$Z$152,0)),"")</f>
        <v/>
      </c>
      <c r="F41" s="28" t="str">
        <f>IFERROR(INDEX('BASE DE DATOS'!$E$5:$E$152,MATCH(37,'BASE DE DATOS'!$Z$5:$Z$152,0)),"")</f>
        <v/>
      </c>
      <c r="G41" s="27" t="str">
        <f>IFERROR(INDEX('BASE DE DATOS'!$F$5:$F$152,MATCH(37,'BASE DE DATOS'!$Z$5:$Z$152,0)),"")</f>
        <v/>
      </c>
      <c r="H41" s="29" t="str">
        <f>IFERROR(INDEX('BASE DE DATOS'!$G$5:$G$152,MATCH(37,'BASE DE DATOS'!$Z$5:$Z$152,0)),"")</f>
        <v/>
      </c>
      <c r="I41" s="14" t="str">
        <f>IFERROR(INDEX('BASE DE DATOS'!$P$5:$P$152,MATCH(37,'BASE DE DATOS'!$Z$5:$Z$152,0)),"")</f>
        <v/>
      </c>
      <c r="J41" s="26" t="str">
        <f>IFERROR(INDEX('BASE DE DATOS'!$Q$5:$Q$152,MATCH(37,'BASE DE DATOS'!$Z$5:$Z$152,0)),"")</f>
        <v/>
      </c>
      <c r="K41" s="28" t="str">
        <f>IFERROR(INDEX('BASE DE DATOS'!$R$5:$R$152,MATCH(37,'BASE DE DATOS'!$Z$5:$Z$152,0)),"")</f>
        <v/>
      </c>
      <c r="L41" s="28" t="str">
        <f>IFERROR(INDEX('BASE DE DATOS'!$S$5:$S$152,MATCH(37,'BASE DE DATOS'!$Z$5:$Z$152,0)),"")</f>
        <v/>
      </c>
      <c r="M41" s="28" t="str">
        <f>IFERROR(INDEX('BASE DE DATOS'!$T$5:$T$152,MATCH(37,'BASE DE DATOS'!$Z$5:$Z$152,0)),"")</f>
        <v/>
      </c>
      <c r="N41" s="27" t="str">
        <f>IFERROR(INDEX('BASE DE DATOS'!$W$5:$W$152,MATCH(37,'BASE DE DATOS'!$Z$5:$Z$152,0)),"")</f>
        <v/>
      </c>
      <c r="O41" s="28" t="str">
        <f>IFERROR(INDEX('BASE DE DATOS'!$U$5:$U$152,MATCH(37,'BASE DE DATOS'!$Z$5:$Z$152,0)),"")</f>
        <v/>
      </c>
    </row>
    <row r="42" spans="1:15" x14ac:dyDescent="0.3">
      <c r="A42" s="9">
        <v>38</v>
      </c>
      <c r="B42" s="28" t="str">
        <f>IFERROR(INDEX('BASE DE DATOS'!$A$5:$A$152,MATCH(38,'BASE DE DATOS'!$Z$5:$Z$152,0)),"")</f>
        <v/>
      </c>
      <c r="C42" s="27" t="str">
        <f>IFERROR(INDEX('BASE DE DATOS'!$B$5:$B$152,MATCH(38,'BASE DE DATOS'!$Z$5:$Z$152,0)),"")</f>
        <v/>
      </c>
      <c r="D42" s="28" t="str">
        <f>IFERROR(INDEX('BASE DE DATOS'!$C$5:$C$152,MATCH(38,'BASE DE DATOS'!$Z$5:$Z$152,0)),"")</f>
        <v/>
      </c>
      <c r="E42" s="28" t="str">
        <f>IFERROR(INDEX('BASE DE DATOS'!$D$5:$D$152,MATCH(38,'BASE DE DATOS'!$Z$5:$Z$152,0)),"")</f>
        <v/>
      </c>
      <c r="F42" s="28" t="str">
        <f>IFERROR(INDEX('BASE DE DATOS'!$E$5:$E$152,MATCH(38,'BASE DE DATOS'!$Z$5:$Z$152,0)),"")</f>
        <v/>
      </c>
      <c r="G42" s="27" t="str">
        <f>IFERROR(INDEX('BASE DE DATOS'!$F$5:$F$152,MATCH(38,'BASE DE DATOS'!$Z$5:$Z$152,0)),"")</f>
        <v/>
      </c>
      <c r="H42" s="29" t="str">
        <f>IFERROR(INDEX('BASE DE DATOS'!$G$5:$G$152,MATCH(38,'BASE DE DATOS'!$Z$5:$Z$152,0)),"")</f>
        <v/>
      </c>
      <c r="I42" s="14" t="str">
        <f>IFERROR(INDEX('BASE DE DATOS'!$P$5:$P$152,MATCH(38,'BASE DE DATOS'!$Z$5:$Z$152,0)),"")</f>
        <v/>
      </c>
      <c r="J42" s="26" t="str">
        <f>IFERROR(INDEX('BASE DE DATOS'!$Q$5:$Q$152,MATCH(38,'BASE DE DATOS'!$Z$5:$Z$152,0)),"")</f>
        <v/>
      </c>
      <c r="K42" s="28" t="str">
        <f>IFERROR(INDEX('BASE DE DATOS'!$R$5:$R$152,MATCH(38,'BASE DE DATOS'!$Z$5:$Z$152,0)),"")</f>
        <v/>
      </c>
      <c r="L42" s="28" t="str">
        <f>IFERROR(INDEX('BASE DE DATOS'!$S$5:$S$152,MATCH(38,'BASE DE DATOS'!$Z$5:$Z$152,0)),"")</f>
        <v/>
      </c>
      <c r="M42" s="28" t="str">
        <f>IFERROR(INDEX('BASE DE DATOS'!$T$5:$T$152,MATCH(38,'BASE DE DATOS'!$Z$5:$Z$152,0)),"")</f>
        <v/>
      </c>
      <c r="N42" s="27" t="str">
        <f>IFERROR(INDEX('BASE DE DATOS'!$W$5:$W$152,MATCH(38,'BASE DE DATOS'!$Z$5:$Z$152,0)),"")</f>
        <v/>
      </c>
      <c r="O42" s="28" t="str">
        <f>IFERROR(INDEX('BASE DE DATOS'!$U$5:$U$152,MATCH(38,'BASE DE DATOS'!$Z$5:$Z$152,0)),"")</f>
        <v/>
      </c>
    </row>
    <row r="43" spans="1:15" x14ac:dyDescent="0.3">
      <c r="A43" s="9">
        <v>39</v>
      </c>
      <c r="B43" s="28" t="str">
        <f>IFERROR(INDEX('BASE DE DATOS'!$A$5:$A$152,MATCH(39,'BASE DE DATOS'!$Z$5:$Z$152,0)),"")</f>
        <v/>
      </c>
      <c r="C43" s="27" t="str">
        <f>IFERROR(INDEX('BASE DE DATOS'!$B$5:$B$152,MATCH(39,'BASE DE DATOS'!$Z$5:$Z$152,0)),"")</f>
        <v/>
      </c>
      <c r="D43" s="28" t="str">
        <f>IFERROR(INDEX('BASE DE DATOS'!$C$5:$C$152,MATCH(39,'BASE DE DATOS'!$Z$5:$Z$152,0)),"")</f>
        <v/>
      </c>
      <c r="E43" s="28" t="str">
        <f>IFERROR(INDEX('BASE DE DATOS'!$D$5:$D$152,MATCH(39,'BASE DE DATOS'!$Z$5:$Z$152,0)),"")</f>
        <v/>
      </c>
      <c r="F43" s="28" t="str">
        <f>IFERROR(INDEX('BASE DE DATOS'!$E$5:$E$152,MATCH(39,'BASE DE DATOS'!$Z$5:$Z$152,0)),"")</f>
        <v/>
      </c>
      <c r="G43" s="27" t="str">
        <f>IFERROR(INDEX('BASE DE DATOS'!$F$5:$F$152,MATCH(39,'BASE DE DATOS'!$Z$5:$Z$152,0)),"")</f>
        <v/>
      </c>
      <c r="H43" s="29" t="str">
        <f>IFERROR(INDEX('BASE DE DATOS'!$G$5:$G$152,MATCH(39,'BASE DE DATOS'!$Z$5:$Z$152,0)),"")</f>
        <v/>
      </c>
      <c r="I43" s="14" t="str">
        <f>IFERROR(INDEX('BASE DE DATOS'!$P$5:$P$152,MATCH(39,'BASE DE DATOS'!$Z$5:$Z$152,0)),"")</f>
        <v/>
      </c>
      <c r="J43" s="26" t="str">
        <f>IFERROR(INDEX('BASE DE DATOS'!$Q$5:$Q$152,MATCH(39,'BASE DE DATOS'!$Z$5:$Z$152,0)),"")</f>
        <v/>
      </c>
      <c r="K43" s="28" t="str">
        <f>IFERROR(INDEX('BASE DE DATOS'!$R$5:$R$152,MATCH(39,'BASE DE DATOS'!$Z$5:$Z$152,0)),"")</f>
        <v/>
      </c>
      <c r="L43" s="28" t="str">
        <f>IFERROR(INDEX('BASE DE DATOS'!$S$5:$S$152,MATCH(39,'BASE DE DATOS'!$Z$5:$Z$152,0)),"")</f>
        <v/>
      </c>
      <c r="M43" s="28" t="str">
        <f>IFERROR(INDEX('BASE DE DATOS'!$T$5:$T$152,MATCH(39,'BASE DE DATOS'!$Z$5:$Z$152,0)),"")</f>
        <v/>
      </c>
      <c r="N43" s="27" t="str">
        <f>IFERROR(INDEX('BASE DE DATOS'!$W$5:$W$152,MATCH(39,'BASE DE DATOS'!$Z$5:$Z$152,0)),"")</f>
        <v/>
      </c>
      <c r="O43" s="28" t="str">
        <f>IFERROR(INDEX('BASE DE DATOS'!$U$5:$U$152,MATCH(39,'BASE DE DATOS'!$Z$5:$Z$152,0)),"")</f>
        <v/>
      </c>
    </row>
    <row r="44" spans="1:15" x14ac:dyDescent="0.3">
      <c r="A44" s="9">
        <v>40</v>
      </c>
      <c r="B44" s="28" t="str">
        <f>IFERROR(INDEX('BASE DE DATOS'!$A$5:$A$152,MATCH(40,'BASE DE DATOS'!$Z$5:$Z$152,0)),"")</f>
        <v/>
      </c>
      <c r="C44" s="27" t="str">
        <f>IFERROR(INDEX('BASE DE DATOS'!$B$5:$B$152,MATCH(40,'BASE DE DATOS'!$Z$5:$Z$152,0)),"")</f>
        <v/>
      </c>
      <c r="D44" s="28" t="str">
        <f>IFERROR(INDEX('BASE DE DATOS'!$C$5:$C$152,MATCH(40,'BASE DE DATOS'!$Z$5:$Z$152,0)),"")</f>
        <v/>
      </c>
      <c r="E44" s="28" t="str">
        <f>IFERROR(INDEX('BASE DE DATOS'!$D$5:$D$152,MATCH(40,'BASE DE DATOS'!$Z$5:$Z$152,0)),"")</f>
        <v/>
      </c>
      <c r="F44" s="28" t="str">
        <f>IFERROR(INDEX('BASE DE DATOS'!$E$5:$E$152,MATCH(40,'BASE DE DATOS'!$Z$5:$Z$152,0)),"")</f>
        <v/>
      </c>
      <c r="G44" s="27" t="str">
        <f>IFERROR(INDEX('BASE DE DATOS'!$F$5:$F$152,MATCH(40,'BASE DE DATOS'!$Z$5:$Z$152,0)),"")</f>
        <v/>
      </c>
      <c r="H44" s="29" t="str">
        <f>IFERROR(INDEX('BASE DE DATOS'!$G$5:$G$152,MATCH(40,'BASE DE DATOS'!$Z$5:$Z$152,0)),"")</f>
        <v/>
      </c>
      <c r="I44" s="14" t="str">
        <f>IFERROR(INDEX('BASE DE DATOS'!$P$5:$P$152,MATCH(40,'BASE DE DATOS'!$Z$5:$Z$152,0)),"")</f>
        <v/>
      </c>
      <c r="J44" s="26" t="str">
        <f>IFERROR(INDEX('BASE DE DATOS'!$Q$5:$Q$152,MATCH(40,'BASE DE DATOS'!$Z$5:$Z$152,0)),"")</f>
        <v/>
      </c>
      <c r="K44" s="28" t="str">
        <f>IFERROR(INDEX('BASE DE DATOS'!$R$5:$R$152,MATCH(40,'BASE DE DATOS'!$Z$5:$Z$152,0)),"")</f>
        <v/>
      </c>
      <c r="L44" s="28" t="str">
        <f>IFERROR(INDEX('BASE DE DATOS'!$S$5:$S$152,MATCH(40,'BASE DE DATOS'!$Z$5:$Z$152,0)),"")</f>
        <v/>
      </c>
      <c r="M44" s="28" t="str">
        <f>IFERROR(INDEX('BASE DE DATOS'!$T$5:$T$152,MATCH(40,'BASE DE DATOS'!$Z$5:$Z$152,0)),"")</f>
        <v/>
      </c>
      <c r="N44" s="27" t="str">
        <f>IFERROR(INDEX('BASE DE DATOS'!$W$5:$W$152,MATCH(40,'BASE DE DATOS'!$Z$5:$Z$152,0)),"")</f>
        <v/>
      </c>
      <c r="O44" s="28" t="str">
        <f>IFERROR(INDEX('BASE DE DATOS'!$U$5:$U$152,MATCH(40,'BASE DE DATOS'!$Z$5:$Z$152,0)),"")</f>
        <v/>
      </c>
    </row>
    <row r="45" spans="1:15" x14ac:dyDescent="0.3">
      <c r="A45" s="9">
        <v>41</v>
      </c>
      <c r="B45" s="28" t="str">
        <f>IFERROR(INDEX('BASE DE DATOS'!$A$5:$A$152,MATCH(41,'BASE DE DATOS'!$Z$5:$Z$152,0)),"")</f>
        <v/>
      </c>
      <c r="C45" s="27" t="str">
        <f>IFERROR(INDEX('BASE DE DATOS'!$B$5:$B$152,MATCH(41,'BASE DE DATOS'!$Z$5:$Z$152,0)),"")</f>
        <v/>
      </c>
      <c r="D45" s="28" t="str">
        <f>IFERROR(INDEX('BASE DE DATOS'!$C$5:$C$152,MATCH(41,'BASE DE DATOS'!$Z$5:$Z$152,0)),"")</f>
        <v/>
      </c>
      <c r="E45" s="28" t="str">
        <f>IFERROR(INDEX('BASE DE DATOS'!$D$5:$D$152,MATCH(41,'BASE DE DATOS'!$Z$5:$Z$152,0)),"")</f>
        <v/>
      </c>
      <c r="F45" s="28" t="str">
        <f>IFERROR(INDEX('BASE DE DATOS'!$E$5:$E$152,MATCH(41,'BASE DE DATOS'!$Z$5:$Z$152,0)),"")</f>
        <v/>
      </c>
      <c r="G45" s="27" t="str">
        <f>IFERROR(INDEX('BASE DE DATOS'!$F$5:$F$152,MATCH(41,'BASE DE DATOS'!$Z$5:$Z$152,0)),"")</f>
        <v/>
      </c>
      <c r="H45" s="29" t="str">
        <f>IFERROR(INDEX('BASE DE DATOS'!$G$5:$G$152,MATCH(41,'BASE DE DATOS'!$Z$5:$Z$152,0)),"")</f>
        <v/>
      </c>
      <c r="I45" s="14" t="str">
        <f>IFERROR(INDEX('BASE DE DATOS'!$P$5:$P$152,MATCH(41,'BASE DE DATOS'!$Z$5:$Z$152,0)),"")</f>
        <v/>
      </c>
      <c r="J45" s="26" t="str">
        <f>IFERROR(INDEX('BASE DE DATOS'!$Q$5:$Q$152,MATCH(41,'BASE DE DATOS'!$Z$5:$Z$152,0)),"")</f>
        <v/>
      </c>
      <c r="K45" s="28" t="str">
        <f>IFERROR(INDEX('BASE DE DATOS'!$R$5:$R$152,MATCH(41,'BASE DE DATOS'!$Z$5:$Z$152,0)),"")</f>
        <v/>
      </c>
      <c r="L45" s="28" t="str">
        <f>IFERROR(INDEX('BASE DE DATOS'!$S$5:$S$152,MATCH(41,'BASE DE DATOS'!$Z$5:$Z$152,0)),"")</f>
        <v/>
      </c>
      <c r="M45" s="28" t="str">
        <f>IFERROR(INDEX('BASE DE DATOS'!$T$5:$T$152,MATCH(41,'BASE DE DATOS'!$Z$5:$Z$152,0)),"")</f>
        <v/>
      </c>
      <c r="N45" s="27" t="str">
        <f>IFERROR(INDEX('BASE DE DATOS'!$W$5:$W$152,MATCH(41,'BASE DE DATOS'!$Z$5:$Z$152,0)),"")</f>
        <v/>
      </c>
      <c r="O45" s="28" t="str">
        <f>IFERROR(INDEX('BASE DE DATOS'!$U$5:$U$152,MATCH(41,'BASE DE DATOS'!$Z$5:$Z$152,0)),"")</f>
        <v/>
      </c>
    </row>
    <row r="46" spans="1:15" x14ac:dyDescent="0.3">
      <c r="A46" s="9">
        <v>42</v>
      </c>
      <c r="B46" s="28" t="str">
        <f>IFERROR(INDEX('BASE DE DATOS'!$A$5:$A$152,MATCH(42,'BASE DE DATOS'!$Z$5:$Z$152,0)),"")</f>
        <v/>
      </c>
      <c r="C46" s="27" t="str">
        <f>IFERROR(INDEX('BASE DE DATOS'!$B$5:$B$152,MATCH(42,'BASE DE DATOS'!$Z$5:$Z$152,0)),"")</f>
        <v/>
      </c>
      <c r="D46" s="28" t="str">
        <f>IFERROR(INDEX('BASE DE DATOS'!$C$5:$C$152,MATCH(42,'BASE DE DATOS'!$Z$5:$Z$152,0)),"")</f>
        <v/>
      </c>
      <c r="E46" s="28" t="str">
        <f>IFERROR(INDEX('BASE DE DATOS'!$D$5:$D$152,MATCH(42,'BASE DE DATOS'!$Z$5:$Z$152,0)),"")</f>
        <v/>
      </c>
      <c r="F46" s="28" t="str">
        <f>IFERROR(INDEX('BASE DE DATOS'!$E$5:$E$152,MATCH(42,'BASE DE DATOS'!$Z$5:$Z$152,0)),"")</f>
        <v/>
      </c>
      <c r="G46" s="27" t="str">
        <f>IFERROR(INDEX('BASE DE DATOS'!$F$5:$F$152,MATCH(42,'BASE DE DATOS'!$Z$5:$Z$152,0)),"")</f>
        <v/>
      </c>
      <c r="H46" s="29" t="str">
        <f>IFERROR(INDEX('BASE DE DATOS'!$G$5:$G$152,MATCH(42,'BASE DE DATOS'!$Z$5:$Z$152,0)),"")</f>
        <v/>
      </c>
      <c r="I46" s="14" t="str">
        <f>IFERROR(INDEX('BASE DE DATOS'!$P$5:$P$152,MATCH(42,'BASE DE DATOS'!$Z$5:$Z$152,0)),"")</f>
        <v/>
      </c>
      <c r="J46" s="26" t="str">
        <f>IFERROR(INDEX('BASE DE DATOS'!$Q$5:$Q$152,MATCH(42,'BASE DE DATOS'!$Z$5:$Z$152,0)),"")</f>
        <v/>
      </c>
      <c r="K46" s="28" t="str">
        <f>IFERROR(INDEX('BASE DE DATOS'!$R$5:$R$152,MATCH(42,'BASE DE DATOS'!$Z$5:$Z$152,0)),"")</f>
        <v/>
      </c>
      <c r="L46" s="28" t="str">
        <f>IFERROR(INDEX('BASE DE DATOS'!$S$5:$S$152,MATCH(42,'BASE DE DATOS'!$Z$5:$Z$152,0)),"")</f>
        <v/>
      </c>
      <c r="M46" s="28" t="str">
        <f>IFERROR(INDEX('BASE DE DATOS'!$T$5:$T$152,MATCH(42,'BASE DE DATOS'!$Z$5:$Z$152,0)),"")</f>
        <v/>
      </c>
      <c r="N46" s="27" t="str">
        <f>IFERROR(INDEX('BASE DE DATOS'!$W$5:$W$152,MATCH(42,'BASE DE DATOS'!$Z$5:$Z$152,0)),"")</f>
        <v/>
      </c>
      <c r="O46" s="28" t="str">
        <f>IFERROR(INDEX('BASE DE DATOS'!$U$5:$U$152,MATCH(42,'BASE DE DATOS'!$Z$5:$Z$152,0)),"")</f>
        <v/>
      </c>
    </row>
    <row r="47" spans="1:15" x14ac:dyDescent="0.3">
      <c r="A47" s="9">
        <v>43</v>
      </c>
      <c r="B47" s="28" t="str">
        <f>IFERROR(INDEX('BASE DE DATOS'!$A$5:$A$152,MATCH(43,'BASE DE DATOS'!$Z$5:$Z$152,0)),"")</f>
        <v/>
      </c>
      <c r="C47" s="27" t="str">
        <f>IFERROR(INDEX('BASE DE DATOS'!$B$5:$B$152,MATCH(43,'BASE DE DATOS'!$Z$5:$Z$152,0)),"")</f>
        <v/>
      </c>
      <c r="D47" s="28" t="str">
        <f>IFERROR(INDEX('BASE DE DATOS'!$C$5:$C$152,MATCH(43,'BASE DE DATOS'!$Z$5:$Z$152,0)),"")</f>
        <v/>
      </c>
      <c r="E47" s="28" t="str">
        <f>IFERROR(INDEX('BASE DE DATOS'!$D$5:$D$152,MATCH(43,'BASE DE DATOS'!$Z$5:$Z$152,0)),"")</f>
        <v/>
      </c>
      <c r="F47" s="28" t="str">
        <f>IFERROR(INDEX('BASE DE DATOS'!$E$5:$E$152,MATCH(43,'BASE DE DATOS'!$Z$5:$Z$152,0)),"")</f>
        <v/>
      </c>
      <c r="G47" s="27" t="str">
        <f>IFERROR(INDEX('BASE DE DATOS'!$F$5:$F$152,MATCH(43,'BASE DE DATOS'!$Z$5:$Z$152,0)),"")</f>
        <v/>
      </c>
      <c r="H47" s="29" t="str">
        <f>IFERROR(INDEX('BASE DE DATOS'!$G$5:$G$152,MATCH(43,'BASE DE DATOS'!$Z$5:$Z$152,0)),"")</f>
        <v/>
      </c>
      <c r="I47" s="14" t="str">
        <f>IFERROR(INDEX('BASE DE DATOS'!$P$5:$P$152,MATCH(43,'BASE DE DATOS'!$Z$5:$Z$152,0)),"")</f>
        <v/>
      </c>
      <c r="J47" s="26" t="str">
        <f>IFERROR(INDEX('BASE DE DATOS'!$Q$5:$Q$152,MATCH(43,'BASE DE DATOS'!$Z$5:$Z$152,0)),"")</f>
        <v/>
      </c>
      <c r="K47" s="28" t="str">
        <f>IFERROR(INDEX('BASE DE DATOS'!$R$5:$R$152,MATCH(43,'BASE DE DATOS'!$Z$5:$Z$152,0)),"")</f>
        <v/>
      </c>
      <c r="L47" s="28" t="str">
        <f>IFERROR(INDEX('BASE DE DATOS'!$S$5:$S$152,MATCH(43,'BASE DE DATOS'!$Z$5:$Z$152,0)),"")</f>
        <v/>
      </c>
      <c r="M47" s="28" t="str">
        <f>IFERROR(INDEX('BASE DE DATOS'!$T$5:$T$152,MATCH(43,'BASE DE DATOS'!$Z$5:$Z$152,0)),"")</f>
        <v/>
      </c>
      <c r="N47" s="27" t="str">
        <f>IFERROR(INDEX('BASE DE DATOS'!$W$5:$W$152,MATCH(43,'BASE DE DATOS'!$Z$5:$Z$152,0)),"")</f>
        <v/>
      </c>
      <c r="O47" s="28" t="str">
        <f>IFERROR(INDEX('BASE DE DATOS'!$U$5:$U$152,MATCH(43,'BASE DE DATOS'!$Z$5:$Z$152,0)),"")</f>
        <v/>
      </c>
    </row>
    <row r="48" spans="1:15" x14ac:dyDescent="0.3">
      <c r="A48" s="9">
        <v>44</v>
      </c>
      <c r="B48" s="28" t="str">
        <f>IFERROR(INDEX('BASE DE DATOS'!$A$5:$A$152,MATCH(44,'BASE DE DATOS'!$Z$5:$Z$152,0)),"")</f>
        <v/>
      </c>
      <c r="C48" s="27" t="str">
        <f>IFERROR(INDEX('BASE DE DATOS'!$B$5:$B$152,MATCH(44,'BASE DE DATOS'!$Z$5:$Z$152,0)),"")</f>
        <v/>
      </c>
      <c r="D48" s="28" t="str">
        <f>IFERROR(INDEX('BASE DE DATOS'!$C$5:$C$152,MATCH(44,'BASE DE DATOS'!$Z$5:$Z$152,0)),"")</f>
        <v/>
      </c>
      <c r="E48" s="28" t="str">
        <f>IFERROR(INDEX('BASE DE DATOS'!$D$5:$D$152,MATCH(44,'BASE DE DATOS'!$Z$5:$Z$152,0)),"")</f>
        <v/>
      </c>
      <c r="F48" s="28" t="str">
        <f>IFERROR(INDEX('BASE DE DATOS'!$E$5:$E$152,MATCH(44,'BASE DE DATOS'!$Z$5:$Z$152,0)),"")</f>
        <v/>
      </c>
      <c r="G48" s="27" t="str">
        <f>IFERROR(INDEX('BASE DE DATOS'!$F$5:$F$152,MATCH(44,'BASE DE DATOS'!$Z$5:$Z$152,0)),"")</f>
        <v/>
      </c>
      <c r="H48" s="29" t="str">
        <f>IFERROR(INDEX('BASE DE DATOS'!$G$5:$G$152,MATCH(44,'BASE DE DATOS'!$Z$5:$Z$152,0)),"")</f>
        <v/>
      </c>
      <c r="I48" s="14" t="str">
        <f>IFERROR(INDEX('BASE DE DATOS'!$P$5:$P$152,MATCH(44,'BASE DE DATOS'!$Z$5:$Z$152,0)),"")</f>
        <v/>
      </c>
      <c r="J48" s="26" t="str">
        <f>IFERROR(INDEX('BASE DE DATOS'!$Q$5:$Q$152,MATCH(44,'BASE DE DATOS'!$Z$5:$Z$152,0)),"")</f>
        <v/>
      </c>
      <c r="K48" s="28" t="str">
        <f>IFERROR(INDEX('BASE DE DATOS'!$R$5:$R$152,MATCH(44,'BASE DE DATOS'!$Z$5:$Z$152,0)),"")</f>
        <v/>
      </c>
      <c r="L48" s="28" t="str">
        <f>IFERROR(INDEX('BASE DE DATOS'!$S$5:$S$152,MATCH(44,'BASE DE DATOS'!$Z$5:$Z$152,0)),"")</f>
        <v/>
      </c>
      <c r="M48" s="28" t="str">
        <f>IFERROR(INDEX('BASE DE DATOS'!$T$5:$T$152,MATCH(44,'BASE DE DATOS'!$Z$5:$Z$152,0)),"")</f>
        <v/>
      </c>
      <c r="N48" s="27" t="str">
        <f>IFERROR(INDEX('BASE DE DATOS'!$W$5:$W$152,MATCH(44,'BASE DE DATOS'!$Z$5:$Z$152,0)),"")</f>
        <v/>
      </c>
      <c r="O48" s="28" t="str">
        <f>IFERROR(INDEX('BASE DE DATOS'!$U$5:$U$152,MATCH(44,'BASE DE DATOS'!$Z$5:$Z$152,0)),"")</f>
        <v/>
      </c>
    </row>
    <row r="49" spans="1:15" x14ac:dyDescent="0.3">
      <c r="A49" s="9">
        <v>45</v>
      </c>
      <c r="B49" s="28" t="str">
        <f>IFERROR(INDEX('BASE DE DATOS'!$A$5:$A$152,MATCH(45,'BASE DE DATOS'!$Z$5:$Z$152,0)),"")</f>
        <v/>
      </c>
      <c r="C49" s="27" t="str">
        <f>IFERROR(INDEX('BASE DE DATOS'!$B$5:$B$152,MATCH(45,'BASE DE DATOS'!$Z$5:$Z$152,0)),"")</f>
        <v/>
      </c>
      <c r="D49" s="28" t="str">
        <f>IFERROR(INDEX('BASE DE DATOS'!$C$5:$C$152,MATCH(45,'BASE DE DATOS'!$Z$5:$Z$152,0)),"")</f>
        <v/>
      </c>
      <c r="E49" s="28" t="str">
        <f>IFERROR(INDEX('BASE DE DATOS'!$D$5:$D$152,MATCH(45,'BASE DE DATOS'!$Z$5:$Z$152,0)),"")</f>
        <v/>
      </c>
      <c r="F49" s="28" t="str">
        <f>IFERROR(INDEX('BASE DE DATOS'!$E$5:$E$152,MATCH(45,'BASE DE DATOS'!$Z$5:$Z$152,0)),"")</f>
        <v/>
      </c>
      <c r="G49" s="27" t="str">
        <f>IFERROR(INDEX('BASE DE DATOS'!$F$5:$F$152,MATCH(45,'BASE DE DATOS'!$Z$5:$Z$152,0)),"")</f>
        <v/>
      </c>
      <c r="H49" s="29" t="str">
        <f>IFERROR(INDEX('BASE DE DATOS'!$G$5:$G$152,MATCH(45,'BASE DE DATOS'!$Z$5:$Z$152,0)),"")</f>
        <v/>
      </c>
      <c r="I49" s="14" t="str">
        <f>IFERROR(INDEX('BASE DE DATOS'!$P$5:$P$152,MATCH(45,'BASE DE DATOS'!$Z$5:$Z$152,0)),"")</f>
        <v/>
      </c>
      <c r="J49" s="26" t="str">
        <f>IFERROR(INDEX('BASE DE DATOS'!$Q$5:$Q$152,MATCH(45,'BASE DE DATOS'!$Z$5:$Z$152,0)),"")</f>
        <v/>
      </c>
      <c r="K49" s="28" t="str">
        <f>IFERROR(INDEX('BASE DE DATOS'!$R$5:$R$152,MATCH(45,'BASE DE DATOS'!$Z$5:$Z$152,0)),"")</f>
        <v/>
      </c>
      <c r="L49" s="28" t="str">
        <f>IFERROR(INDEX('BASE DE DATOS'!$S$5:$S$152,MATCH(45,'BASE DE DATOS'!$Z$5:$Z$152,0)),"")</f>
        <v/>
      </c>
      <c r="M49" s="28" t="str">
        <f>IFERROR(INDEX('BASE DE DATOS'!$T$5:$T$152,MATCH(45,'BASE DE DATOS'!$Z$5:$Z$152,0)),"")</f>
        <v/>
      </c>
      <c r="N49" s="27" t="str">
        <f>IFERROR(INDEX('BASE DE DATOS'!$W$5:$W$152,MATCH(45,'BASE DE DATOS'!$Z$5:$Z$152,0)),"")</f>
        <v/>
      </c>
      <c r="O49" s="28" t="str">
        <f>IFERROR(INDEX('BASE DE DATOS'!$U$5:$U$152,MATCH(45,'BASE DE DATOS'!$Z$5:$Z$152,0)),"")</f>
        <v/>
      </c>
    </row>
    <row r="50" spans="1:15" x14ac:dyDescent="0.3">
      <c r="A50" s="9">
        <v>46</v>
      </c>
      <c r="B50" s="28" t="str">
        <f>IFERROR(INDEX('BASE DE DATOS'!$A$5:$A$152,MATCH(46,'BASE DE DATOS'!$Z$5:$Z$152,0)),"")</f>
        <v/>
      </c>
      <c r="C50" s="27" t="str">
        <f>IFERROR(INDEX('BASE DE DATOS'!$B$5:$B$152,MATCH(46,'BASE DE DATOS'!$Z$5:$Z$152,0)),"")</f>
        <v/>
      </c>
      <c r="D50" s="28" t="str">
        <f>IFERROR(INDEX('BASE DE DATOS'!$C$5:$C$152,MATCH(46,'BASE DE DATOS'!$Z$5:$Z$152,0)),"")</f>
        <v/>
      </c>
      <c r="E50" s="28" t="str">
        <f>IFERROR(INDEX('BASE DE DATOS'!$D$5:$D$152,MATCH(46,'BASE DE DATOS'!$Z$5:$Z$152,0)),"")</f>
        <v/>
      </c>
      <c r="F50" s="28" t="str">
        <f>IFERROR(INDEX('BASE DE DATOS'!$E$5:$E$152,MATCH(46,'BASE DE DATOS'!$Z$5:$Z$152,0)),"")</f>
        <v/>
      </c>
      <c r="G50" s="27" t="str">
        <f>IFERROR(INDEX('BASE DE DATOS'!$F$5:$F$152,MATCH(46,'BASE DE DATOS'!$Z$5:$Z$152,0)),"")</f>
        <v/>
      </c>
      <c r="H50" s="29" t="str">
        <f>IFERROR(INDEX('BASE DE DATOS'!$G$5:$G$152,MATCH(46,'BASE DE DATOS'!$Z$5:$Z$152,0)),"")</f>
        <v/>
      </c>
      <c r="I50" s="14" t="str">
        <f>IFERROR(INDEX('BASE DE DATOS'!$P$5:$P$152,MATCH(46,'BASE DE DATOS'!$Z$5:$Z$152,0)),"")</f>
        <v/>
      </c>
      <c r="J50" s="26" t="str">
        <f>IFERROR(INDEX('BASE DE DATOS'!$Q$5:$Q$152,MATCH(46,'BASE DE DATOS'!$Z$5:$Z$152,0)),"")</f>
        <v/>
      </c>
      <c r="K50" s="28" t="str">
        <f>IFERROR(INDEX('BASE DE DATOS'!$R$5:$R$152,MATCH(46,'BASE DE DATOS'!$Z$5:$Z$152,0)),"")</f>
        <v/>
      </c>
      <c r="L50" s="28" t="str">
        <f>IFERROR(INDEX('BASE DE DATOS'!$S$5:$S$152,MATCH(46,'BASE DE DATOS'!$Z$5:$Z$152,0)),"")</f>
        <v/>
      </c>
      <c r="M50" s="28" t="str">
        <f>IFERROR(INDEX('BASE DE DATOS'!$T$5:$T$152,MATCH(46,'BASE DE DATOS'!$Z$5:$Z$152,0)),"")</f>
        <v/>
      </c>
      <c r="N50" s="27" t="str">
        <f>IFERROR(INDEX('BASE DE DATOS'!$W$5:$W$152,MATCH(46,'BASE DE DATOS'!$Z$5:$Z$152,0)),"")</f>
        <v/>
      </c>
      <c r="O50" s="28" t="str">
        <f>IFERROR(INDEX('BASE DE DATOS'!$U$5:$U$152,MATCH(46,'BASE DE DATOS'!$Z$5:$Z$152,0)),"")</f>
        <v/>
      </c>
    </row>
    <row r="51" spans="1:15" x14ac:dyDescent="0.3">
      <c r="A51" s="9">
        <v>47</v>
      </c>
      <c r="B51" s="28" t="str">
        <f>IFERROR(INDEX('BASE DE DATOS'!$A$5:$A$152,MATCH(47,'BASE DE DATOS'!$Z$5:$Z$152,0)),"")</f>
        <v/>
      </c>
      <c r="C51" s="27" t="str">
        <f>IFERROR(INDEX('BASE DE DATOS'!$B$5:$B$152,MATCH(47,'BASE DE DATOS'!$Z$5:$Z$152,0)),"")</f>
        <v/>
      </c>
      <c r="D51" s="28" t="str">
        <f>IFERROR(INDEX('BASE DE DATOS'!$C$5:$C$152,MATCH(47,'BASE DE DATOS'!$Z$5:$Z$152,0)),"")</f>
        <v/>
      </c>
      <c r="E51" s="28" t="str">
        <f>IFERROR(INDEX('BASE DE DATOS'!$D$5:$D$152,MATCH(47,'BASE DE DATOS'!$Z$5:$Z$152,0)),"")</f>
        <v/>
      </c>
      <c r="F51" s="28" t="str">
        <f>IFERROR(INDEX('BASE DE DATOS'!$E$5:$E$152,MATCH(47,'BASE DE DATOS'!$Z$5:$Z$152,0)),"")</f>
        <v/>
      </c>
      <c r="G51" s="27" t="str">
        <f>IFERROR(INDEX('BASE DE DATOS'!$F$5:$F$152,MATCH(47,'BASE DE DATOS'!$Z$5:$Z$152,0)),"")</f>
        <v/>
      </c>
      <c r="H51" s="29" t="str">
        <f>IFERROR(INDEX('BASE DE DATOS'!$G$5:$G$152,MATCH(47,'BASE DE DATOS'!$Z$5:$Z$152,0)),"")</f>
        <v/>
      </c>
      <c r="I51" s="14" t="str">
        <f>IFERROR(INDEX('BASE DE DATOS'!$P$5:$P$152,MATCH(47,'BASE DE DATOS'!$Z$5:$Z$152,0)),"")</f>
        <v/>
      </c>
      <c r="J51" s="26" t="str">
        <f>IFERROR(INDEX('BASE DE DATOS'!$Q$5:$Q$152,MATCH(47,'BASE DE DATOS'!$Z$5:$Z$152,0)),"")</f>
        <v/>
      </c>
      <c r="K51" s="28" t="str">
        <f>IFERROR(INDEX('BASE DE DATOS'!$R$5:$R$152,MATCH(47,'BASE DE DATOS'!$Z$5:$Z$152,0)),"")</f>
        <v/>
      </c>
      <c r="L51" s="28" t="str">
        <f>IFERROR(INDEX('BASE DE DATOS'!$S$5:$S$152,MATCH(47,'BASE DE DATOS'!$Z$5:$Z$152,0)),"")</f>
        <v/>
      </c>
      <c r="M51" s="28" t="str">
        <f>IFERROR(INDEX('BASE DE DATOS'!$T$5:$T$152,MATCH(47,'BASE DE DATOS'!$Z$5:$Z$152,0)),"")</f>
        <v/>
      </c>
      <c r="N51" s="27" t="str">
        <f>IFERROR(INDEX('BASE DE DATOS'!$W$5:$W$152,MATCH(47,'BASE DE DATOS'!$Z$5:$Z$152,0)),"")</f>
        <v/>
      </c>
      <c r="O51" s="28" t="str">
        <f>IFERROR(INDEX('BASE DE DATOS'!$U$5:$U$152,MATCH(47,'BASE DE DATOS'!$Z$5:$Z$152,0)),"")</f>
        <v/>
      </c>
    </row>
    <row r="52" spans="1:15" x14ac:dyDescent="0.3">
      <c r="A52" s="9">
        <v>48</v>
      </c>
      <c r="B52" s="28" t="str">
        <f>IFERROR(INDEX('BASE DE DATOS'!$A$5:$A$152,MATCH(48,'BASE DE DATOS'!$Z$5:$Z$152,0)),"")</f>
        <v/>
      </c>
      <c r="C52" s="27" t="str">
        <f>IFERROR(INDEX('BASE DE DATOS'!$B$5:$B$152,MATCH(48,'BASE DE DATOS'!$Z$5:$Z$152,0)),"")</f>
        <v/>
      </c>
      <c r="D52" s="28" t="str">
        <f>IFERROR(INDEX('BASE DE DATOS'!$C$5:$C$152,MATCH(48,'BASE DE DATOS'!$Z$5:$Z$152,0)),"")</f>
        <v/>
      </c>
      <c r="E52" s="28" t="str">
        <f>IFERROR(INDEX('BASE DE DATOS'!$D$5:$D$152,MATCH(48,'BASE DE DATOS'!$Z$5:$Z$152,0)),"")</f>
        <v/>
      </c>
      <c r="F52" s="28" t="str">
        <f>IFERROR(INDEX('BASE DE DATOS'!$E$5:$E$152,MATCH(48,'BASE DE DATOS'!$Z$5:$Z$152,0)),"")</f>
        <v/>
      </c>
      <c r="G52" s="27" t="str">
        <f>IFERROR(INDEX('BASE DE DATOS'!$F$5:$F$152,MATCH(48,'BASE DE DATOS'!$Z$5:$Z$152,0)),"")</f>
        <v/>
      </c>
      <c r="H52" s="29" t="str">
        <f>IFERROR(INDEX('BASE DE DATOS'!$G$5:$G$152,MATCH(48,'BASE DE DATOS'!$Z$5:$Z$152,0)),"")</f>
        <v/>
      </c>
      <c r="I52" s="14" t="str">
        <f>IFERROR(INDEX('BASE DE DATOS'!$P$5:$P$152,MATCH(48,'BASE DE DATOS'!$Z$5:$Z$152,0)),"")</f>
        <v/>
      </c>
      <c r="J52" s="26" t="str">
        <f>IFERROR(INDEX('BASE DE DATOS'!$Q$5:$Q$152,MATCH(48,'BASE DE DATOS'!$Z$5:$Z$152,0)),"")</f>
        <v/>
      </c>
      <c r="K52" s="28" t="str">
        <f>IFERROR(INDEX('BASE DE DATOS'!$R$5:$R$152,MATCH(48,'BASE DE DATOS'!$Z$5:$Z$152,0)),"")</f>
        <v/>
      </c>
      <c r="L52" s="28" t="str">
        <f>IFERROR(INDEX('BASE DE DATOS'!$S$5:$S$152,MATCH(48,'BASE DE DATOS'!$Z$5:$Z$152,0)),"")</f>
        <v/>
      </c>
      <c r="M52" s="28" t="str">
        <f>IFERROR(INDEX('BASE DE DATOS'!$T$5:$T$152,MATCH(48,'BASE DE DATOS'!$Z$5:$Z$152,0)),"")</f>
        <v/>
      </c>
      <c r="N52" s="27" t="str">
        <f>IFERROR(INDEX('BASE DE DATOS'!$W$5:$W$152,MATCH(48,'BASE DE DATOS'!$Z$5:$Z$152,0)),"")</f>
        <v/>
      </c>
      <c r="O52" s="28" t="str">
        <f>IFERROR(INDEX('BASE DE DATOS'!$U$5:$U$152,MATCH(48,'BASE DE DATOS'!$Z$5:$Z$152,0)),"")</f>
        <v/>
      </c>
    </row>
    <row r="53" spans="1:15" x14ac:dyDescent="0.3">
      <c r="A53" s="9">
        <v>49</v>
      </c>
      <c r="B53" s="28" t="str">
        <f>IFERROR(INDEX('BASE DE DATOS'!$A$5:$A$152,MATCH(49,'BASE DE DATOS'!$Z$5:$Z$152,0)),"")</f>
        <v/>
      </c>
      <c r="C53" s="27" t="str">
        <f>IFERROR(INDEX('BASE DE DATOS'!$B$5:$B$152,MATCH(49,'BASE DE DATOS'!$Z$5:$Z$152,0)),"")</f>
        <v/>
      </c>
      <c r="D53" s="28" t="str">
        <f>IFERROR(INDEX('BASE DE DATOS'!$C$5:$C$152,MATCH(49,'BASE DE DATOS'!$Z$5:$Z$152,0)),"")</f>
        <v/>
      </c>
      <c r="E53" s="28" t="str">
        <f>IFERROR(INDEX('BASE DE DATOS'!$D$5:$D$152,MATCH(49,'BASE DE DATOS'!$Z$5:$Z$152,0)),"")</f>
        <v/>
      </c>
      <c r="F53" s="28" t="str">
        <f>IFERROR(INDEX('BASE DE DATOS'!$E$5:$E$152,MATCH(49,'BASE DE DATOS'!$Z$5:$Z$152,0)),"")</f>
        <v/>
      </c>
      <c r="G53" s="27" t="str">
        <f>IFERROR(INDEX('BASE DE DATOS'!$F$5:$F$152,MATCH(49,'BASE DE DATOS'!$Z$5:$Z$152,0)),"")</f>
        <v/>
      </c>
      <c r="H53" s="29" t="str">
        <f>IFERROR(INDEX('BASE DE DATOS'!$G$5:$G$152,MATCH(49,'BASE DE DATOS'!$Z$5:$Z$152,0)),"")</f>
        <v/>
      </c>
      <c r="I53" s="14" t="str">
        <f>IFERROR(INDEX('BASE DE DATOS'!$P$5:$P$152,MATCH(49,'BASE DE DATOS'!$Z$5:$Z$152,0)),"")</f>
        <v/>
      </c>
      <c r="J53" s="26" t="str">
        <f>IFERROR(INDEX('BASE DE DATOS'!$Q$5:$Q$152,MATCH(49,'BASE DE DATOS'!$Z$5:$Z$152,0)),"")</f>
        <v/>
      </c>
      <c r="K53" s="28" t="str">
        <f>IFERROR(INDEX('BASE DE DATOS'!$R$5:$R$152,MATCH(49,'BASE DE DATOS'!$Z$5:$Z$152,0)),"")</f>
        <v/>
      </c>
      <c r="L53" s="28" t="str">
        <f>IFERROR(INDEX('BASE DE DATOS'!$S$5:$S$152,MATCH(49,'BASE DE DATOS'!$Z$5:$Z$152,0)),"")</f>
        <v/>
      </c>
      <c r="M53" s="28" t="str">
        <f>IFERROR(INDEX('BASE DE DATOS'!$T$5:$T$152,MATCH(49,'BASE DE DATOS'!$Z$5:$Z$152,0)),"")</f>
        <v/>
      </c>
      <c r="N53" s="27" t="str">
        <f>IFERROR(INDEX('BASE DE DATOS'!$W$5:$W$152,MATCH(49,'BASE DE DATOS'!$Z$5:$Z$152,0)),"")</f>
        <v/>
      </c>
      <c r="O53" s="28" t="str">
        <f>IFERROR(INDEX('BASE DE DATOS'!$U$5:$U$152,MATCH(49,'BASE DE DATOS'!$Z$5:$Z$152,0)),"")</f>
        <v/>
      </c>
    </row>
    <row r="54" spans="1:15" x14ac:dyDescent="0.3">
      <c r="A54" s="9">
        <v>50</v>
      </c>
      <c r="B54" s="28" t="str">
        <f>IFERROR(INDEX('BASE DE DATOS'!$A$5:$A$152,MATCH(50,'BASE DE DATOS'!$Z$5:$Z$152,0)),"")</f>
        <v/>
      </c>
      <c r="C54" s="27" t="str">
        <f>IFERROR(INDEX('BASE DE DATOS'!$B$5:$B$152,MATCH(50,'BASE DE DATOS'!$Z$5:$Z$152,0)),"")</f>
        <v/>
      </c>
      <c r="D54" s="28" t="str">
        <f>IFERROR(INDEX('BASE DE DATOS'!$C$5:$C$152,MATCH(50,'BASE DE DATOS'!$Z$5:$Z$152,0)),"")</f>
        <v/>
      </c>
      <c r="E54" s="28" t="str">
        <f>IFERROR(INDEX('BASE DE DATOS'!$D$5:$D$152,MATCH(50,'BASE DE DATOS'!$Z$5:$Z$152,0)),"")</f>
        <v/>
      </c>
      <c r="F54" s="28" t="str">
        <f>IFERROR(INDEX('BASE DE DATOS'!$E$5:$E$152,MATCH(50,'BASE DE DATOS'!$Z$5:$Z$152,0)),"")</f>
        <v/>
      </c>
      <c r="G54" s="27" t="str">
        <f>IFERROR(INDEX('BASE DE DATOS'!$F$5:$F$152,MATCH(50,'BASE DE DATOS'!$Z$5:$Z$152,0)),"")</f>
        <v/>
      </c>
      <c r="H54" s="29" t="str">
        <f>IFERROR(INDEX('BASE DE DATOS'!$G$5:$G$152,MATCH(50,'BASE DE DATOS'!$Z$5:$Z$152,0)),"")</f>
        <v/>
      </c>
      <c r="I54" s="14" t="str">
        <f>IFERROR(INDEX('BASE DE DATOS'!$P$5:$P$152,MATCH(50,'BASE DE DATOS'!$Z$5:$Z$152,0)),"")</f>
        <v/>
      </c>
      <c r="J54" s="26" t="str">
        <f>IFERROR(INDEX('BASE DE DATOS'!$Q$5:$Q$152,MATCH(50,'BASE DE DATOS'!$Z$5:$Z$152,0)),"")</f>
        <v/>
      </c>
      <c r="K54" s="28" t="str">
        <f>IFERROR(INDEX('BASE DE DATOS'!$R$5:$R$152,MATCH(50,'BASE DE DATOS'!$Z$5:$Z$152,0)),"")</f>
        <v/>
      </c>
      <c r="L54" s="28" t="str">
        <f>IFERROR(INDEX('BASE DE DATOS'!$S$5:$S$152,MATCH(50,'BASE DE DATOS'!$Z$5:$Z$152,0)),"")</f>
        <v/>
      </c>
      <c r="M54" s="28" t="str">
        <f>IFERROR(INDEX('BASE DE DATOS'!$T$5:$T$152,MATCH(50,'BASE DE DATOS'!$Z$5:$Z$152,0)),"")</f>
        <v/>
      </c>
      <c r="N54" s="27" t="str">
        <f>IFERROR(INDEX('BASE DE DATOS'!$W$5:$W$152,MATCH(50,'BASE DE DATOS'!$Z$5:$Z$152,0)),"")</f>
        <v/>
      </c>
      <c r="O54" s="28" t="str">
        <f>IFERROR(INDEX('BASE DE DATOS'!$U$5:$U$152,MATCH(50,'BASE DE DATOS'!$Z$5:$Z$152,0)),"")</f>
        <v/>
      </c>
    </row>
    <row r="55" spans="1:15" x14ac:dyDescent="0.3">
      <c r="A55" s="9">
        <v>51</v>
      </c>
      <c r="B55" s="28" t="str">
        <f>IFERROR(INDEX('BASE DE DATOS'!$A$5:$A$152,MATCH(51,'BASE DE DATOS'!$Z$5:$Z$152,0)),"")</f>
        <v/>
      </c>
      <c r="C55" s="27" t="str">
        <f>IFERROR(INDEX('BASE DE DATOS'!$B$5:$B$152,MATCH(51,'BASE DE DATOS'!$Z$5:$Z$152,0)),"")</f>
        <v/>
      </c>
      <c r="D55" s="28" t="str">
        <f>IFERROR(INDEX('BASE DE DATOS'!$C$5:$C$152,MATCH(51,'BASE DE DATOS'!$Z$5:$Z$152,0)),"")</f>
        <v/>
      </c>
      <c r="E55" s="28" t="str">
        <f>IFERROR(INDEX('BASE DE DATOS'!$D$5:$D$152,MATCH(51,'BASE DE DATOS'!$Z$5:$Z$152,0)),"")</f>
        <v/>
      </c>
      <c r="F55" s="28" t="str">
        <f>IFERROR(INDEX('BASE DE DATOS'!$E$5:$E$152,MATCH(51,'BASE DE DATOS'!$Z$5:$Z$152,0)),"")</f>
        <v/>
      </c>
      <c r="G55" s="27" t="str">
        <f>IFERROR(INDEX('BASE DE DATOS'!$F$5:$F$152,MATCH(51,'BASE DE DATOS'!$Z$5:$Z$152,0)),"")</f>
        <v/>
      </c>
      <c r="H55" s="29" t="str">
        <f>IFERROR(INDEX('BASE DE DATOS'!$G$5:$G$152,MATCH(51,'BASE DE DATOS'!$Z$5:$Z$152,0)),"")</f>
        <v/>
      </c>
      <c r="I55" s="14" t="str">
        <f>IFERROR(INDEX('BASE DE DATOS'!$P$5:$P$152,MATCH(51,'BASE DE DATOS'!$Z$5:$Z$152,0)),"")</f>
        <v/>
      </c>
      <c r="J55" s="26" t="str">
        <f>IFERROR(INDEX('BASE DE DATOS'!$Q$5:$Q$152,MATCH(51,'BASE DE DATOS'!$Z$5:$Z$152,0)),"")</f>
        <v/>
      </c>
      <c r="K55" s="28" t="str">
        <f>IFERROR(INDEX('BASE DE DATOS'!$R$5:$R$152,MATCH(51,'BASE DE DATOS'!$Z$5:$Z$152,0)),"")</f>
        <v/>
      </c>
      <c r="L55" s="28" t="str">
        <f>IFERROR(INDEX('BASE DE DATOS'!$S$5:$S$152,MATCH(51,'BASE DE DATOS'!$Z$5:$Z$152,0)),"")</f>
        <v/>
      </c>
      <c r="M55" s="28" t="str">
        <f>IFERROR(INDEX('BASE DE DATOS'!$T$5:$T$152,MATCH(51,'BASE DE DATOS'!$Z$5:$Z$152,0)),"")</f>
        <v/>
      </c>
      <c r="N55" s="27" t="str">
        <f>IFERROR(INDEX('BASE DE DATOS'!$W$5:$W$152,MATCH(51,'BASE DE DATOS'!$Z$5:$Z$152,0)),"")</f>
        <v/>
      </c>
      <c r="O55" s="28" t="str">
        <f>IFERROR(INDEX('BASE DE DATOS'!$U$5:$U$152,MATCH(51,'BASE DE DATOS'!$Z$5:$Z$152,0)),"")</f>
        <v/>
      </c>
    </row>
    <row r="56" spans="1:15" x14ac:dyDescent="0.3">
      <c r="A56" s="9">
        <v>52</v>
      </c>
      <c r="B56" s="28" t="str">
        <f>IFERROR(INDEX('BASE DE DATOS'!$A$5:$A$152,MATCH(52,'BASE DE DATOS'!$Z$5:$Z$152,0)),"")</f>
        <v/>
      </c>
      <c r="C56" s="27" t="str">
        <f>IFERROR(INDEX('BASE DE DATOS'!$B$5:$B$152,MATCH(52,'BASE DE DATOS'!$Z$5:$Z$152,0)),"")</f>
        <v/>
      </c>
      <c r="D56" s="28" t="str">
        <f>IFERROR(INDEX('BASE DE DATOS'!$C$5:$C$152,MATCH(52,'BASE DE DATOS'!$Z$5:$Z$152,0)),"")</f>
        <v/>
      </c>
      <c r="E56" s="28" t="str">
        <f>IFERROR(INDEX('BASE DE DATOS'!$D$5:$D$152,MATCH(52,'BASE DE DATOS'!$Z$5:$Z$152,0)),"")</f>
        <v/>
      </c>
      <c r="F56" s="28" t="str">
        <f>IFERROR(INDEX('BASE DE DATOS'!$E$5:$E$152,MATCH(52,'BASE DE DATOS'!$Z$5:$Z$152,0)),"")</f>
        <v/>
      </c>
      <c r="G56" s="27" t="str">
        <f>IFERROR(INDEX('BASE DE DATOS'!$F$5:$F$152,MATCH(52,'BASE DE DATOS'!$Z$5:$Z$152,0)),"")</f>
        <v/>
      </c>
      <c r="H56" s="29" t="str">
        <f>IFERROR(INDEX('BASE DE DATOS'!$G$5:$G$152,MATCH(52,'BASE DE DATOS'!$Z$5:$Z$152,0)),"")</f>
        <v/>
      </c>
      <c r="I56" s="14" t="str">
        <f>IFERROR(INDEX('BASE DE DATOS'!$P$5:$P$152,MATCH(52,'BASE DE DATOS'!$Z$5:$Z$152,0)),"")</f>
        <v/>
      </c>
      <c r="J56" s="26" t="str">
        <f>IFERROR(INDEX('BASE DE DATOS'!$Q$5:$Q$152,MATCH(52,'BASE DE DATOS'!$Z$5:$Z$152,0)),"")</f>
        <v/>
      </c>
      <c r="K56" s="28" t="str">
        <f>IFERROR(INDEX('BASE DE DATOS'!$R$5:$R$152,MATCH(52,'BASE DE DATOS'!$Z$5:$Z$152,0)),"")</f>
        <v/>
      </c>
      <c r="L56" s="28" t="str">
        <f>IFERROR(INDEX('BASE DE DATOS'!$S$5:$S$152,MATCH(52,'BASE DE DATOS'!$Z$5:$Z$152,0)),"")</f>
        <v/>
      </c>
      <c r="M56" s="28" t="str">
        <f>IFERROR(INDEX('BASE DE DATOS'!$T$5:$T$152,MATCH(52,'BASE DE DATOS'!$Z$5:$Z$152,0)),"")</f>
        <v/>
      </c>
      <c r="N56" s="27" t="str">
        <f>IFERROR(INDEX('BASE DE DATOS'!$W$5:$W$152,MATCH(52,'BASE DE DATOS'!$Z$5:$Z$152,0)),"")</f>
        <v/>
      </c>
      <c r="O56" s="28" t="str">
        <f>IFERROR(INDEX('BASE DE DATOS'!$U$5:$U$152,MATCH(52,'BASE DE DATOS'!$Z$5:$Z$152,0)),"")</f>
        <v/>
      </c>
    </row>
    <row r="57" spans="1:15" x14ac:dyDescent="0.3">
      <c r="A57" s="9">
        <v>53</v>
      </c>
      <c r="B57" s="28" t="str">
        <f>IFERROR(INDEX('BASE DE DATOS'!$A$5:$A$152,MATCH(53,'BASE DE DATOS'!$Z$5:$Z$152,0)),"")</f>
        <v/>
      </c>
      <c r="C57" s="27" t="str">
        <f>IFERROR(INDEX('BASE DE DATOS'!$B$5:$B$152,MATCH(53,'BASE DE DATOS'!$Z$5:$Z$152,0)),"")</f>
        <v/>
      </c>
      <c r="D57" s="28" t="str">
        <f>IFERROR(INDEX('BASE DE DATOS'!$C$5:$C$152,MATCH(53,'BASE DE DATOS'!$Z$5:$Z$152,0)),"")</f>
        <v/>
      </c>
      <c r="E57" s="28" t="str">
        <f>IFERROR(INDEX('BASE DE DATOS'!$D$5:$D$152,MATCH(53,'BASE DE DATOS'!$Z$5:$Z$152,0)),"")</f>
        <v/>
      </c>
      <c r="F57" s="28" t="str">
        <f>IFERROR(INDEX('BASE DE DATOS'!$E$5:$E$152,MATCH(53,'BASE DE DATOS'!$Z$5:$Z$152,0)),"")</f>
        <v/>
      </c>
      <c r="G57" s="27" t="str">
        <f>IFERROR(INDEX('BASE DE DATOS'!$F$5:$F$152,MATCH(53,'BASE DE DATOS'!$Z$5:$Z$152,0)),"")</f>
        <v/>
      </c>
      <c r="H57" s="29" t="str">
        <f>IFERROR(INDEX('BASE DE DATOS'!$G$5:$G$152,MATCH(53,'BASE DE DATOS'!$Z$5:$Z$152,0)),"")</f>
        <v/>
      </c>
      <c r="I57" s="14" t="str">
        <f>IFERROR(INDEX('BASE DE DATOS'!$P$5:$P$152,MATCH(53,'BASE DE DATOS'!$Z$5:$Z$152,0)),"")</f>
        <v/>
      </c>
      <c r="J57" s="26" t="str">
        <f>IFERROR(INDEX('BASE DE DATOS'!$Q$5:$Q$152,MATCH(53,'BASE DE DATOS'!$Z$5:$Z$152,0)),"")</f>
        <v/>
      </c>
      <c r="K57" s="28" t="str">
        <f>IFERROR(INDEX('BASE DE DATOS'!$R$5:$R$152,MATCH(53,'BASE DE DATOS'!$Z$5:$Z$152,0)),"")</f>
        <v/>
      </c>
      <c r="L57" s="28" t="str">
        <f>IFERROR(INDEX('BASE DE DATOS'!$S$5:$S$152,MATCH(53,'BASE DE DATOS'!$Z$5:$Z$152,0)),"")</f>
        <v/>
      </c>
      <c r="M57" s="28" t="str">
        <f>IFERROR(INDEX('BASE DE DATOS'!$T$5:$T$152,MATCH(53,'BASE DE DATOS'!$Z$5:$Z$152,0)),"")</f>
        <v/>
      </c>
      <c r="N57" s="27" t="str">
        <f>IFERROR(INDEX('BASE DE DATOS'!$W$5:$W$152,MATCH(53,'BASE DE DATOS'!$Z$5:$Z$152,0)),"")</f>
        <v/>
      </c>
      <c r="O57" s="28" t="str">
        <f>IFERROR(INDEX('BASE DE DATOS'!$U$5:$U$152,MATCH(53,'BASE DE DATOS'!$Z$5:$Z$152,0)),"")</f>
        <v/>
      </c>
    </row>
    <row r="58" spans="1:15" x14ac:dyDescent="0.3">
      <c r="A58" s="9">
        <v>54</v>
      </c>
      <c r="B58" s="28" t="str">
        <f>IFERROR(INDEX('BASE DE DATOS'!$A$5:$A$152,MATCH(54,'BASE DE DATOS'!$Z$5:$Z$152,0)),"")</f>
        <v/>
      </c>
      <c r="C58" s="27" t="str">
        <f>IFERROR(INDEX('BASE DE DATOS'!$B$5:$B$152,MATCH(54,'BASE DE DATOS'!$Z$5:$Z$152,0)),"")</f>
        <v/>
      </c>
      <c r="D58" s="28" t="str">
        <f>IFERROR(INDEX('BASE DE DATOS'!$C$5:$C$152,MATCH(54,'BASE DE DATOS'!$Z$5:$Z$152,0)),"")</f>
        <v/>
      </c>
      <c r="E58" s="28" t="str">
        <f>IFERROR(INDEX('BASE DE DATOS'!$D$5:$D$152,MATCH(54,'BASE DE DATOS'!$Z$5:$Z$152,0)),"")</f>
        <v/>
      </c>
      <c r="F58" s="28" t="str">
        <f>IFERROR(INDEX('BASE DE DATOS'!$E$5:$E$152,MATCH(54,'BASE DE DATOS'!$Z$5:$Z$152,0)),"")</f>
        <v/>
      </c>
      <c r="G58" s="27" t="str">
        <f>IFERROR(INDEX('BASE DE DATOS'!$F$5:$F$152,MATCH(54,'BASE DE DATOS'!$Z$5:$Z$152,0)),"")</f>
        <v/>
      </c>
      <c r="H58" s="29" t="str">
        <f>IFERROR(INDEX('BASE DE DATOS'!$G$5:$G$152,MATCH(54,'BASE DE DATOS'!$Z$5:$Z$152,0)),"")</f>
        <v/>
      </c>
      <c r="I58" s="14" t="str">
        <f>IFERROR(INDEX('BASE DE DATOS'!$P$5:$P$152,MATCH(54,'BASE DE DATOS'!$Z$5:$Z$152,0)),"")</f>
        <v/>
      </c>
      <c r="J58" s="26" t="str">
        <f>IFERROR(INDEX('BASE DE DATOS'!$Q$5:$Q$152,MATCH(54,'BASE DE DATOS'!$Z$5:$Z$152,0)),"")</f>
        <v/>
      </c>
      <c r="K58" s="28" t="str">
        <f>IFERROR(INDEX('BASE DE DATOS'!$R$5:$R$152,MATCH(54,'BASE DE DATOS'!$Z$5:$Z$152,0)),"")</f>
        <v/>
      </c>
      <c r="L58" s="28" t="str">
        <f>IFERROR(INDEX('BASE DE DATOS'!$S$5:$S$152,MATCH(54,'BASE DE DATOS'!$Z$5:$Z$152,0)),"")</f>
        <v/>
      </c>
      <c r="M58" s="28" t="str">
        <f>IFERROR(INDEX('BASE DE DATOS'!$T$5:$T$152,MATCH(54,'BASE DE DATOS'!$Z$5:$Z$152,0)),"")</f>
        <v/>
      </c>
      <c r="N58" s="27" t="str">
        <f>IFERROR(INDEX('BASE DE DATOS'!$W$5:$W$152,MATCH(54,'BASE DE DATOS'!$Z$5:$Z$152,0)),"")</f>
        <v/>
      </c>
      <c r="O58" s="28" t="str">
        <f>IFERROR(INDEX('BASE DE DATOS'!$U$5:$U$152,MATCH(54,'BASE DE DATOS'!$Z$5:$Z$152,0)),"")</f>
        <v/>
      </c>
    </row>
    <row r="59" spans="1:15" x14ac:dyDescent="0.3">
      <c r="A59" s="9">
        <v>55</v>
      </c>
      <c r="B59" s="28" t="str">
        <f>IFERROR(INDEX('BASE DE DATOS'!$A$5:$A$152,MATCH(55,'BASE DE DATOS'!$Z$5:$Z$152,0)),"")</f>
        <v/>
      </c>
      <c r="C59" s="27" t="str">
        <f>IFERROR(INDEX('BASE DE DATOS'!$B$5:$B$152,MATCH(55,'BASE DE DATOS'!$Z$5:$Z$152,0)),"")</f>
        <v/>
      </c>
      <c r="D59" s="28" t="str">
        <f>IFERROR(INDEX('BASE DE DATOS'!$C$5:$C$152,MATCH(55,'BASE DE DATOS'!$Z$5:$Z$152,0)),"")</f>
        <v/>
      </c>
      <c r="E59" s="28" t="str">
        <f>IFERROR(INDEX('BASE DE DATOS'!$D$5:$D$152,MATCH(55,'BASE DE DATOS'!$Z$5:$Z$152,0)),"")</f>
        <v/>
      </c>
      <c r="F59" s="28" t="str">
        <f>IFERROR(INDEX('BASE DE DATOS'!$E$5:$E$152,MATCH(55,'BASE DE DATOS'!$Z$5:$Z$152,0)),"")</f>
        <v/>
      </c>
      <c r="G59" s="27" t="str">
        <f>IFERROR(INDEX('BASE DE DATOS'!$F$5:$F$152,MATCH(55,'BASE DE DATOS'!$Z$5:$Z$152,0)),"")</f>
        <v/>
      </c>
      <c r="H59" s="29" t="str">
        <f>IFERROR(INDEX('BASE DE DATOS'!$G$5:$G$152,MATCH(55,'BASE DE DATOS'!$Z$5:$Z$152,0)),"")</f>
        <v/>
      </c>
      <c r="I59" s="14" t="str">
        <f>IFERROR(INDEX('BASE DE DATOS'!$P$5:$P$152,MATCH(55,'BASE DE DATOS'!$Z$5:$Z$152,0)),"")</f>
        <v/>
      </c>
      <c r="J59" s="26" t="str">
        <f>IFERROR(INDEX('BASE DE DATOS'!$Q$5:$Q$152,MATCH(55,'BASE DE DATOS'!$Z$5:$Z$152,0)),"")</f>
        <v/>
      </c>
      <c r="K59" s="28" t="str">
        <f>IFERROR(INDEX('BASE DE DATOS'!$R$5:$R$152,MATCH(55,'BASE DE DATOS'!$Z$5:$Z$152,0)),"")</f>
        <v/>
      </c>
      <c r="L59" s="28" t="str">
        <f>IFERROR(INDEX('BASE DE DATOS'!$S$5:$S$152,MATCH(55,'BASE DE DATOS'!$Z$5:$Z$152,0)),"")</f>
        <v/>
      </c>
      <c r="M59" s="28" t="str">
        <f>IFERROR(INDEX('BASE DE DATOS'!$T$5:$T$152,MATCH(55,'BASE DE DATOS'!$Z$5:$Z$152,0)),"")</f>
        <v/>
      </c>
      <c r="N59" s="27" t="str">
        <f>IFERROR(INDEX('BASE DE DATOS'!$W$5:$W$152,MATCH(55,'BASE DE DATOS'!$Z$5:$Z$152,0)),"")</f>
        <v/>
      </c>
      <c r="O59" s="28" t="str">
        <f>IFERROR(INDEX('BASE DE DATOS'!$U$5:$U$152,MATCH(55,'BASE DE DATOS'!$Z$5:$Z$152,0)),"")</f>
        <v/>
      </c>
    </row>
    <row r="60" spans="1:15" x14ac:dyDescent="0.3">
      <c r="A60" s="9">
        <v>56</v>
      </c>
      <c r="B60" s="28" t="str">
        <f>IFERROR(INDEX('BASE DE DATOS'!$A$5:$A$152,MATCH(56,'BASE DE DATOS'!$Z$5:$Z$152,0)),"")</f>
        <v/>
      </c>
      <c r="C60" s="27" t="str">
        <f>IFERROR(INDEX('BASE DE DATOS'!$B$5:$B$152,MATCH(56,'BASE DE DATOS'!$Z$5:$Z$152,0)),"")</f>
        <v/>
      </c>
      <c r="D60" s="28" t="str">
        <f>IFERROR(INDEX('BASE DE DATOS'!$C$5:$C$152,MATCH(56,'BASE DE DATOS'!$Z$5:$Z$152,0)),"")</f>
        <v/>
      </c>
      <c r="E60" s="28" t="str">
        <f>IFERROR(INDEX('BASE DE DATOS'!$D$5:$D$152,MATCH(56,'BASE DE DATOS'!$Z$5:$Z$152,0)),"")</f>
        <v/>
      </c>
      <c r="F60" s="28" t="str">
        <f>IFERROR(INDEX('BASE DE DATOS'!$E$5:$E$152,MATCH(56,'BASE DE DATOS'!$Z$5:$Z$152,0)),"")</f>
        <v/>
      </c>
      <c r="G60" s="27" t="str">
        <f>IFERROR(INDEX('BASE DE DATOS'!$F$5:$F$152,MATCH(56,'BASE DE DATOS'!$Z$5:$Z$152,0)),"")</f>
        <v/>
      </c>
      <c r="H60" s="29" t="str">
        <f>IFERROR(INDEX('BASE DE DATOS'!$G$5:$G$152,MATCH(56,'BASE DE DATOS'!$Z$5:$Z$152,0)),"")</f>
        <v/>
      </c>
      <c r="I60" s="14" t="str">
        <f>IFERROR(INDEX('BASE DE DATOS'!$P$5:$P$152,MATCH(56,'BASE DE DATOS'!$Z$5:$Z$152,0)),"")</f>
        <v/>
      </c>
      <c r="J60" s="26" t="str">
        <f>IFERROR(INDEX('BASE DE DATOS'!$Q$5:$Q$152,MATCH(56,'BASE DE DATOS'!$Z$5:$Z$152,0)),"")</f>
        <v/>
      </c>
      <c r="K60" s="28" t="str">
        <f>IFERROR(INDEX('BASE DE DATOS'!$R$5:$R$152,MATCH(56,'BASE DE DATOS'!$Z$5:$Z$152,0)),"")</f>
        <v/>
      </c>
      <c r="L60" s="28" t="str">
        <f>IFERROR(INDEX('BASE DE DATOS'!$S$5:$S$152,MATCH(56,'BASE DE DATOS'!$Z$5:$Z$152,0)),"")</f>
        <v/>
      </c>
      <c r="M60" s="28" t="str">
        <f>IFERROR(INDEX('BASE DE DATOS'!$T$5:$T$152,MATCH(56,'BASE DE DATOS'!$Z$5:$Z$152,0)),"")</f>
        <v/>
      </c>
      <c r="N60" s="27" t="str">
        <f>IFERROR(INDEX('BASE DE DATOS'!$W$5:$W$152,MATCH(56,'BASE DE DATOS'!$Z$5:$Z$152,0)),"")</f>
        <v/>
      </c>
      <c r="O60" s="28" t="str">
        <f>IFERROR(INDEX('BASE DE DATOS'!$U$5:$U$152,MATCH(56,'BASE DE DATOS'!$Z$5:$Z$152,0)),"")</f>
        <v/>
      </c>
    </row>
    <row r="61" spans="1:15" x14ac:dyDescent="0.3">
      <c r="A61" s="9">
        <v>57</v>
      </c>
      <c r="B61" s="28" t="str">
        <f>IFERROR(INDEX('BASE DE DATOS'!$A$5:$A$152,MATCH(57,'BASE DE DATOS'!$Z$5:$Z$152,0)),"")</f>
        <v/>
      </c>
      <c r="C61" s="27" t="str">
        <f>IFERROR(INDEX('BASE DE DATOS'!$B$5:$B$152,MATCH(57,'BASE DE DATOS'!$Z$5:$Z$152,0)),"")</f>
        <v/>
      </c>
      <c r="D61" s="28" t="str">
        <f>IFERROR(INDEX('BASE DE DATOS'!$C$5:$C$152,MATCH(57,'BASE DE DATOS'!$Z$5:$Z$152,0)),"")</f>
        <v/>
      </c>
      <c r="E61" s="28" t="str">
        <f>IFERROR(INDEX('BASE DE DATOS'!$D$5:$D$152,MATCH(57,'BASE DE DATOS'!$Z$5:$Z$152,0)),"")</f>
        <v/>
      </c>
      <c r="F61" s="28" t="str">
        <f>IFERROR(INDEX('BASE DE DATOS'!$E$5:$E$152,MATCH(57,'BASE DE DATOS'!$Z$5:$Z$152,0)),"")</f>
        <v/>
      </c>
      <c r="G61" s="27" t="str">
        <f>IFERROR(INDEX('BASE DE DATOS'!$F$5:$F$152,MATCH(57,'BASE DE DATOS'!$Z$5:$Z$152,0)),"")</f>
        <v/>
      </c>
      <c r="H61" s="29" t="str">
        <f>IFERROR(INDEX('BASE DE DATOS'!$G$5:$G$152,MATCH(57,'BASE DE DATOS'!$Z$5:$Z$152,0)),"")</f>
        <v/>
      </c>
      <c r="I61" s="14" t="str">
        <f>IFERROR(INDEX('BASE DE DATOS'!$P$5:$P$152,MATCH(57,'BASE DE DATOS'!$Z$5:$Z$152,0)),"")</f>
        <v/>
      </c>
      <c r="J61" s="26" t="str">
        <f>IFERROR(INDEX('BASE DE DATOS'!$Q$5:$Q$152,MATCH(57,'BASE DE DATOS'!$Z$5:$Z$152,0)),"")</f>
        <v/>
      </c>
      <c r="K61" s="28" t="str">
        <f>IFERROR(INDEX('BASE DE DATOS'!$R$5:$R$152,MATCH(57,'BASE DE DATOS'!$Z$5:$Z$152,0)),"")</f>
        <v/>
      </c>
      <c r="L61" s="28" t="str">
        <f>IFERROR(INDEX('BASE DE DATOS'!$S$5:$S$152,MATCH(57,'BASE DE DATOS'!$Z$5:$Z$152,0)),"")</f>
        <v/>
      </c>
      <c r="M61" s="28" t="str">
        <f>IFERROR(INDEX('BASE DE DATOS'!$T$5:$T$152,MATCH(57,'BASE DE DATOS'!$Z$5:$Z$152,0)),"")</f>
        <v/>
      </c>
      <c r="N61" s="27" t="str">
        <f>IFERROR(INDEX('BASE DE DATOS'!$W$5:$W$152,MATCH(57,'BASE DE DATOS'!$Z$5:$Z$152,0)),"")</f>
        <v/>
      </c>
      <c r="O61" s="28" t="str">
        <f>IFERROR(INDEX('BASE DE DATOS'!$U$5:$U$152,MATCH(57,'BASE DE DATOS'!$Z$5:$Z$152,0)),"")</f>
        <v/>
      </c>
    </row>
    <row r="62" spans="1:15" x14ac:dyDescent="0.3">
      <c r="A62" s="9">
        <v>58</v>
      </c>
      <c r="B62" s="28" t="str">
        <f>IFERROR(INDEX('BASE DE DATOS'!$A$5:$A$152,MATCH(58,'BASE DE DATOS'!$Z$5:$Z$152,0)),"")</f>
        <v/>
      </c>
      <c r="C62" s="27" t="str">
        <f>IFERROR(INDEX('BASE DE DATOS'!$B$5:$B$152,MATCH(58,'BASE DE DATOS'!$Z$5:$Z$152,0)),"")</f>
        <v/>
      </c>
      <c r="D62" s="28" t="str">
        <f>IFERROR(INDEX('BASE DE DATOS'!$C$5:$C$152,MATCH(58,'BASE DE DATOS'!$Z$5:$Z$152,0)),"")</f>
        <v/>
      </c>
      <c r="E62" s="28" t="str">
        <f>IFERROR(INDEX('BASE DE DATOS'!$D$5:$D$152,MATCH(58,'BASE DE DATOS'!$Z$5:$Z$152,0)),"")</f>
        <v/>
      </c>
      <c r="F62" s="28" t="str">
        <f>IFERROR(INDEX('BASE DE DATOS'!$E$5:$E$152,MATCH(58,'BASE DE DATOS'!$Z$5:$Z$152,0)),"")</f>
        <v/>
      </c>
      <c r="G62" s="27" t="str">
        <f>IFERROR(INDEX('BASE DE DATOS'!$F$5:$F$152,MATCH(58,'BASE DE DATOS'!$Z$5:$Z$152,0)),"")</f>
        <v/>
      </c>
      <c r="H62" s="29" t="str">
        <f>IFERROR(INDEX('BASE DE DATOS'!$G$5:$G$152,MATCH(58,'BASE DE DATOS'!$Z$5:$Z$152,0)),"")</f>
        <v/>
      </c>
      <c r="I62" s="14" t="str">
        <f>IFERROR(INDEX('BASE DE DATOS'!$P$5:$P$152,MATCH(58,'BASE DE DATOS'!$Z$5:$Z$152,0)),"")</f>
        <v/>
      </c>
      <c r="J62" s="26" t="str">
        <f>IFERROR(INDEX('BASE DE DATOS'!$Q$5:$Q$152,MATCH(58,'BASE DE DATOS'!$Z$5:$Z$152,0)),"")</f>
        <v/>
      </c>
      <c r="K62" s="28" t="str">
        <f>IFERROR(INDEX('BASE DE DATOS'!$R$5:$R$152,MATCH(58,'BASE DE DATOS'!$Z$5:$Z$152,0)),"")</f>
        <v/>
      </c>
      <c r="L62" s="28" t="str">
        <f>IFERROR(INDEX('BASE DE DATOS'!$S$5:$S$152,MATCH(58,'BASE DE DATOS'!$Z$5:$Z$152,0)),"")</f>
        <v/>
      </c>
      <c r="M62" s="28" t="str">
        <f>IFERROR(INDEX('BASE DE DATOS'!$T$5:$T$152,MATCH(58,'BASE DE DATOS'!$Z$5:$Z$152,0)),"")</f>
        <v/>
      </c>
      <c r="N62" s="27" t="str">
        <f>IFERROR(INDEX('BASE DE DATOS'!$W$5:$W$152,MATCH(58,'BASE DE DATOS'!$Z$5:$Z$152,0)),"")</f>
        <v/>
      </c>
      <c r="O62" s="28" t="str">
        <f>IFERROR(INDEX('BASE DE DATOS'!$U$5:$U$152,MATCH(58,'BASE DE DATOS'!$Z$5:$Z$152,0)),"")</f>
        <v/>
      </c>
    </row>
    <row r="63" spans="1:15" x14ac:dyDescent="0.3">
      <c r="A63" s="9">
        <v>59</v>
      </c>
      <c r="B63" s="28" t="str">
        <f>IFERROR(INDEX('BASE DE DATOS'!$A$5:$A$152,MATCH(59,'BASE DE DATOS'!$Z$5:$Z$152,0)),"")</f>
        <v/>
      </c>
      <c r="C63" s="27" t="str">
        <f>IFERROR(INDEX('BASE DE DATOS'!$B$5:$B$152,MATCH(59,'BASE DE DATOS'!$Z$5:$Z$152,0)),"")</f>
        <v/>
      </c>
      <c r="D63" s="28" t="str">
        <f>IFERROR(INDEX('BASE DE DATOS'!$C$5:$C$152,MATCH(59,'BASE DE DATOS'!$Z$5:$Z$152,0)),"")</f>
        <v/>
      </c>
      <c r="E63" s="28" t="str">
        <f>IFERROR(INDEX('BASE DE DATOS'!$D$5:$D$152,MATCH(59,'BASE DE DATOS'!$Z$5:$Z$152,0)),"")</f>
        <v/>
      </c>
      <c r="F63" s="28" t="str">
        <f>IFERROR(INDEX('BASE DE DATOS'!$E$5:$E$152,MATCH(59,'BASE DE DATOS'!$Z$5:$Z$152,0)),"")</f>
        <v/>
      </c>
      <c r="G63" s="27" t="str">
        <f>IFERROR(INDEX('BASE DE DATOS'!$F$5:$F$152,MATCH(59,'BASE DE DATOS'!$Z$5:$Z$152,0)),"")</f>
        <v/>
      </c>
      <c r="H63" s="29" t="str">
        <f>IFERROR(INDEX('BASE DE DATOS'!$G$5:$G$152,MATCH(59,'BASE DE DATOS'!$Z$5:$Z$152,0)),"")</f>
        <v/>
      </c>
      <c r="I63" s="14" t="str">
        <f>IFERROR(INDEX('BASE DE DATOS'!$P$5:$P$152,MATCH(59,'BASE DE DATOS'!$Z$5:$Z$152,0)),"")</f>
        <v/>
      </c>
      <c r="J63" s="26" t="str">
        <f>IFERROR(INDEX('BASE DE DATOS'!$Q$5:$Q$152,MATCH(59,'BASE DE DATOS'!$Z$5:$Z$152,0)),"")</f>
        <v/>
      </c>
      <c r="K63" s="28" t="str">
        <f>IFERROR(INDEX('BASE DE DATOS'!$R$5:$R$152,MATCH(59,'BASE DE DATOS'!$Z$5:$Z$152,0)),"")</f>
        <v/>
      </c>
      <c r="L63" s="28" t="str">
        <f>IFERROR(INDEX('BASE DE DATOS'!$S$5:$S$152,MATCH(59,'BASE DE DATOS'!$Z$5:$Z$152,0)),"")</f>
        <v/>
      </c>
      <c r="M63" s="28" t="str">
        <f>IFERROR(INDEX('BASE DE DATOS'!$T$5:$T$152,MATCH(59,'BASE DE DATOS'!$Z$5:$Z$152,0)),"")</f>
        <v/>
      </c>
      <c r="N63" s="27" t="str">
        <f>IFERROR(INDEX('BASE DE DATOS'!$W$5:$W$152,MATCH(59,'BASE DE DATOS'!$Z$5:$Z$152,0)),"")</f>
        <v/>
      </c>
      <c r="O63" s="28" t="str">
        <f>IFERROR(INDEX('BASE DE DATOS'!$U$5:$U$152,MATCH(59,'BASE DE DATOS'!$Z$5:$Z$152,0)),"")</f>
        <v/>
      </c>
    </row>
    <row r="64" spans="1:15" x14ac:dyDescent="0.3">
      <c r="A64" s="9">
        <v>60</v>
      </c>
      <c r="B64" s="28" t="str">
        <f>IFERROR(INDEX('BASE DE DATOS'!$A$5:$A$152,MATCH(60,'BASE DE DATOS'!$Z$5:$Z$152,0)),"")</f>
        <v/>
      </c>
      <c r="C64" s="27" t="str">
        <f>IFERROR(INDEX('BASE DE DATOS'!$B$5:$B$152,MATCH(60,'BASE DE DATOS'!$Z$5:$Z$152,0)),"")</f>
        <v/>
      </c>
      <c r="D64" s="28" t="str">
        <f>IFERROR(INDEX('BASE DE DATOS'!$C$5:$C$152,MATCH(60,'BASE DE DATOS'!$Z$5:$Z$152,0)),"")</f>
        <v/>
      </c>
      <c r="E64" s="28" t="str">
        <f>IFERROR(INDEX('BASE DE DATOS'!$D$5:$D$152,MATCH(60,'BASE DE DATOS'!$Z$5:$Z$152,0)),"")</f>
        <v/>
      </c>
      <c r="F64" s="28" t="str">
        <f>IFERROR(INDEX('BASE DE DATOS'!$E$5:$E$152,MATCH(60,'BASE DE DATOS'!$Z$5:$Z$152,0)),"")</f>
        <v/>
      </c>
      <c r="G64" s="27" t="str">
        <f>IFERROR(INDEX('BASE DE DATOS'!$F$5:$F$152,MATCH(60,'BASE DE DATOS'!$Z$5:$Z$152,0)),"")</f>
        <v/>
      </c>
      <c r="H64" s="29" t="str">
        <f>IFERROR(INDEX('BASE DE DATOS'!$G$5:$G$152,MATCH(60,'BASE DE DATOS'!$Z$5:$Z$152,0)),"")</f>
        <v/>
      </c>
      <c r="I64" s="14" t="str">
        <f>IFERROR(INDEX('BASE DE DATOS'!$P$5:$P$152,MATCH(60,'BASE DE DATOS'!$Z$5:$Z$152,0)),"")</f>
        <v/>
      </c>
      <c r="J64" s="26" t="str">
        <f>IFERROR(INDEX('BASE DE DATOS'!$Q$5:$Q$152,MATCH(60,'BASE DE DATOS'!$Z$5:$Z$152,0)),"")</f>
        <v/>
      </c>
      <c r="K64" s="28" t="str">
        <f>IFERROR(INDEX('BASE DE DATOS'!$R$5:$R$152,MATCH(60,'BASE DE DATOS'!$Z$5:$Z$152,0)),"")</f>
        <v/>
      </c>
      <c r="L64" s="28" t="str">
        <f>IFERROR(INDEX('BASE DE DATOS'!$S$5:$S$152,MATCH(60,'BASE DE DATOS'!$Z$5:$Z$152,0)),"")</f>
        <v/>
      </c>
      <c r="M64" s="28" t="str">
        <f>IFERROR(INDEX('BASE DE DATOS'!$T$5:$T$152,MATCH(60,'BASE DE DATOS'!$Z$5:$Z$152,0)),"")</f>
        <v/>
      </c>
      <c r="N64" s="27" t="str">
        <f>IFERROR(INDEX('BASE DE DATOS'!$W$5:$W$152,MATCH(60,'BASE DE DATOS'!$Z$5:$Z$152,0)),"")</f>
        <v/>
      </c>
      <c r="O64" s="28" t="str">
        <f>IFERROR(INDEX('BASE DE DATOS'!$U$5:$U$152,MATCH(60,'BASE DE DATOS'!$Z$5:$Z$152,0)),"")</f>
        <v/>
      </c>
    </row>
    <row r="65" spans="1:15" x14ac:dyDescent="0.3">
      <c r="A65" s="9">
        <v>61</v>
      </c>
      <c r="B65" s="28" t="str">
        <f>IFERROR(INDEX('BASE DE DATOS'!$A$5:$A$152,MATCH(61,'BASE DE DATOS'!$Z$5:$Z$152,0)),"")</f>
        <v/>
      </c>
      <c r="C65" s="27" t="str">
        <f>IFERROR(INDEX('BASE DE DATOS'!$B$5:$B$152,MATCH(61,'BASE DE DATOS'!$Z$5:$Z$152,0)),"")</f>
        <v/>
      </c>
      <c r="D65" s="28" t="str">
        <f>IFERROR(INDEX('BASE DE DATOS'!$C$5:$C$152,MATCH(61,'BASE DE DATOS'!$Z$5:$Z$152,0)),"")</f>
        <v/>
      </c>
      <c r="E65" s="28" t="str">
        <f>IFERROR(INDEX('BASE DE DATOS'!$D$5:$D$152,MATCH(61,'BASE DE DATOS'!$Z$5:$Z$152,0)),"")</f>
        <v/>
      </c>
      <c r="F65" s="28" t="str">
        <f>IFERROR(INDEX('BASE DE DATOS'!$E$5:$E$152,MATCH(61,'BASE DE DATOS'!$Z$5:$Z$152,0)),"")</f>
        <v/>
      </c>
      <c r="G65" s="27" t="str">
        <f>IFERROR(INDEX('BASE DE DATOS'!$F$5:$F$152,MATCH(61,'BASE DE DATOS'!$Z$5:$Z$152,0)),"")</f>
        <v/>
      </c>
      <c r="H65" s="29" t="str">
        <f>IFERROR(INDEX('BASE DE DATOS'!$G$5:$G$152,MATCH(61,'BASE DE DATOS'!$Z$5:$Z$152,0)),"")</f>
        <v/>
      </c>
      <c r="I65" s="14" t="str">
        <f>IFERROR(INDEX('BASE DE DATOS'!$P$5:$P$152,MATCH(61,'BASE DE DATOS'!$Z$5:$Z$152,0)),"")</f>
        <v/>
      </c>
      <c r="J65" s="26" t="str">
        <f>IFERROR(INDEX('BASE DE DATOS'!$Q$5:$Q$152,MATCH(61,'BASE DE DATOS'!$Z$5:$Z$152,0)),"")</f>
        <v/>
      </c>
      <c r="K65" s="28" t="str">
        <f>IFERROR(INDEX('BASE DE DATOS'!$R$5:$R$152,MATCH(61,'BASE DE DATOS'!$Z$5:$Z$152,0)),"")</f>
        <v/>
      </c>
      <c r="L65" s="28" t="str">
        <f>IFERROR(INDEX('BASE DE DATOS'!$S$5:$S$152,MATCH(61,'BASE DE DATOS'!$Z$5:$Z$152,0)),"")</f>
        <v/>
      </c>
      <c r="M65" s="28" t="str">
        <f>IFERROR(INDEX('BASE DE DATOS'!$T$5:$T$152,MATCH(61,'BASE DE DATOS'!$Z$5:$Z$152,0)),"")</f>
        <v/>
      </c>
      <c r="N65" s="27" t="str">
        <f>IFERROR(INDEX('BASE DE DATOS'!$W$5:$W$152,MATCH(61,'BASE DE DATOS'!$Z$5:$Z$152,0)),"")</f>
        <v/>
      </c>
      <c r="O65" s="28" t="str">
        <f>IFERROR(INDEX('BASE DE DATOS'!$U$5:$U$152,MATCH(61,'BASE DE DATOS'!$Z$5:$Z$152,0)),"")</f>
        <v/>
      </c>
    </row>
    <row r="66" spans="1:15" x14ac:dyDescent="0.3">
      <c r="A66" s="9">
        <v>62</v>
      </c>
      <c r="B66" s="28" t="str">
        <f>IFERROR(INDEX('BASE DE DATOS'!$A$5:$A$152,MATCH(62,'BASE DE DATOS'!$Z$5:$Z$152,0)),"")</f>
        <v/>
      </c>
      <c r="C66" s="27" t="str">
        <f>IFERROR(INDEX('BASE DE DATOS'!$B$5:$B$152,MATCH(62,'BASE DE DATOS'!$Z$5:$Z$152,0)),"")</f>
        <v/>
      </c>
      <c r="D66" s="28" t="str">
        <f>IFERROR(INDEX('BASE DE DATOS'!$C$5:$C$152,MATCH(62,'BASE DE DATOS'!$Z$5:$Z$152,0)),"")</f>
        <v/>
      </c>
      <c r="E66" s="28" t="str">
        <f>IFERROR(INDEX('BASE DE DATOS'!$D$5:$D$152,MATCH(62,'BASE DE DATOS'!$Z$5:$Z$152,0)),"")</f>
        <v/>
      </c>
      <c r="F66" s="28" t="str">
        <f>IFERROR(INDEX('BASE DE DATOS'!$E$5:$E$152,MATCH(62,'BASE DE DATOS'!$Z$5:$Z$152,0)),"")</f>
        <v/>
      </c>
      <c r="G66" s="27" t="str">
        <f>IFERROR(INDEX('BASE DE DATOS'!$F$5:$F$152,MATCH(62,'BASE DE DATOS'!$Z$5:$Z$152,0)),"")</f>
        <v/>
      </c>
      <c r="H66" s="29" t="str">
        <f>IFERROR(INDEX('BASE DE DATOS'!$G$5:$G$152,MATCH(62,'BASE DE DATOS'!$Z$5:$Z$152,0)),"")</f>
        <v/>
      </c>
      <c r="I66" s="14" t="str">
        <f>IFERROR(INDEX('BASE DE DATOS'!$P$5:$P$152,MATCH(62,'BASE DE DATOS'!$Z$5:$Z$152,0)),"")</f>
        <v/>
      </c>
      <c r="J66" s="26" t="str">
        <f>IFERROR(INDEX('BASE DE DATOS'!$Q$5:$Q$152,MATCH(62,'BASE DE DATOS'!$Z$5:$Z$152,0)),"")</f>
        <v/>
      </c>
      <c r="K66" s="28" t="str">
        <f>IFERROR(INDEX('BASE DE DATOS'!$R$5:$R$152,MATCH(62,'BASE DE DATOS'!$Z$5:$Z$152,0)),"")</f>
        <v/>
      </c>
      <c r="L66" s="28" t="str">
        <f>IFERROR(INDEX('BASE DE DATOS'!$S$5:$S$152,MATCH(62,'BASE DE DATOS'!$Z$5:$Z$152,0)),"")</f>
        <v/>
      </c>
      <c r="M66" s="28" t="str">
        <f>IFERROR(INDEX('BASE DE DATOS'!$T$5:$T$152,MATCH(62,'BASE DE DATOS'!$Z$5:$Z$152,0)),"")</f>
        <v/>
      </c>
      <c r="N66" s="27" t="str">
        <f>IFERROR(INDEX('BASE DE DATOS'!$W$5:$W$152,MATCH(62,'BASE DE DATOS'!$Z$5:$Z$152,0)),"")</f>
        <v/>
      </c>
      <c r="O66" s="28" t="str">
        <f>IFERROR(INDEX('BASE DE DATOS'!$U$5:$U$152,MATCH(62,'BASE DE DATOS'!$Z$5:$Z$152,0)),"")</f>
        <v/>
      </c>
    </row>
    <row r="67" spans="1:15" x14ac:dyDescent="0.3">
      <c r="A67" s="9">
        <v>63</v>
      </c>
      <c r="B67" s="28" t="str">
        <f>IFERROR(INDEX('BASE DE DATOS'!$A$5:$A$152,MATCH(63,'BASE DE DATOS'!$Z$5:$Z$152,0)),"")</f>
        <v/>
      </c>
      <c r="C67" s="27" t="str">
        <f>IFERROR(INDEX('BASE DE DATOS'!$B$5:$B$152,MATCH(63,'BASE DE DATOS'!$Z$5:$Z$152,0)),"")</f>
        <v/>
      </c>
      <c r="D67" s="28" t="str">
        <f>IFERROR(INDEX('BASE DE DATOS'!$C$5:$C$152,MATCH(63,'BASE DE DATOS'!$Z$5:$Z$152,0)),"")</f>
        <v/>
      </c>
      <c r="E67" s="28" t="str">
        <f>IFERROR(INDEX('BASE DE DATOS'!$D$5:$D$152,MATCH(63,'BASE DE DATOS'!$Z$5:$Z$152,0)),"")</f>
        <v/>
      </c>
      <c r="F67" s="28" t="str">
        <f>IFERROR(INDEX('BASE DE DATOS'!$E$5:$E$152,MATCH(63,'BASE DE DATOS'!$Z$5:$Z$152,0)),"")</f>
        <v/>
      </c>
      <c r="G67" s="27" t="str">
        <f>IFERROR(INDEX('BASE DE DATOS'!$F$5:$F$152,MATCH(63,'BASE DE DATOS'!$Z$5:$Z$152,0)),"")</f>
        <v/>
      </c>
      <c r="H67" s="29" t="str">
        <f>IFERROR(INDEX('BASE DE DATOS'!$G$5:$G$152,MATCH(63,'BASE DE DATOS'!$Z$5:$Z$152,0)),"")</f>
        <v/>
      </c>
      <c r="I67" s="14" t="str">
        <f>IFERROR(INDEX('BASE DE DATOS'!$P$5:$P$152,MATCH(63,'BASE DE DATOS'!$Z$5:$Z$152,0)),"")</f>
        <v/>
      </c>
      <c r="J67" s="26" t="str">
        <f>IFERROR(INDEX('BASE DE DATOS'!$Q$5:$Q$152,MATCH(63,'BASE DE DATOS'!$Z$5:$Z$152,0)),"")</f>
        <v/>
      </c>
      <c r="K67" s="28" t="str">
        <f>IFERROR(INDEX('BASE DE DATOS'!$R$5:$R$152,MATCH(63,'BASE DE DATOS'!$Z$5:$Z$152,0)),"")</f>
        <v/>
      </c>
      <c r="L67" s="28" t="str">
        <f>IFERROR(INDEX('BASE DE DATOS'!$S$5:$S$152,MATCH(63,'BASE DE DATOS'!$Z$5:$Z$152,0)),"")</f>
        <v/>
      </c>
      <c r="M67" s="28" t="str">
        <f>IFERROR(INDEX('BASE DE DATOS'!$T$5:$T$152,MATCH(63,'BASE DE DATOS'!$Z$5:$Z$152,0)),"")</f>
        <v/>
      </c>
      <c r="N67" s="27" t="str">
        <f>IFERROR(INDEX('BASE DE DATOS'!$W$5:$W$152,MATCH(63,'BASE DE DATOS'!$Z$5:$Z$152,0)),"")</f>
        <v/>
      </c>
      <c r="O67" s="28" t="str">
        <f>IFERROR(INDEX('BASE DE DATOS'!$U$5:$U$152,MATCH(63,'BASE DE DATOS'!$Z$5:$Z$152,0)),"")</f>
        <v/>
      </c>
    </row>
    <row r="68" spans="1:15" x14ac:dyDescent="0.3">
      <c r="A68" s="9">
        <v>64</v>
      </c>
      <c r="B68" s="28" t="str">
        <f>IFERROR(INDEX('BASE DE DATOS'!$A$5:$A$152,MATCH(64,'BASE DE DATOS'!$Z$5:$Z$152,0)),"")</f>
        <v/>
      </c>
      <c r="C68" s="27" t="str">
        <f>IFERROR(INDEX('BASE DE DATOS'!$B$5:$B$152,MATCH(64,'BASE DE DATOS'!$Z$5:$Z$152,0)),"")</f>
        <v/>
      </c>
      <c r="D68" s="28" t="str">
        <f>IFERROR(INDEX('BASE DE DATOS'!$C$5:$C$152,MATCH(64,'BASE DE DATOS'!$Z$5:$Z$152,0)),"")</f>
        <v/>
      </c>
      <c r="E68" s="28" t="str">
        <f>IFERROR(INDEX('BASE DE DATOS'!$D$5:$D$152,MATCH(64,'BASE DE DATOS'!$Z$5:$Z$152,0)),"")</f>
        <v/>
      </c>
      <c r="F68" s="28" t="str">
        <f>IFERROR(INDEX('BASE DE DATOS'!$E$5:$E$152,MATCH(64,'BASE DE DATOS'!$Z$5:$Z$152,0)),"")</f>
        <v/>
      </c>
      <c r="G68" s="27" t="str">
        <f>IFERROR(INDEX('BASE DE DATOS'!$F$5:$F$152,MATCH(64,'BASE DE DATOS'!$Z$5:$Z$152,0)),"")</f>
        <v/>
      </c>
      <c r="H68" s="29" t="str">
        <f>IFERROR(INDEX('BASE DE DATOS'!$G$5:$G$152,MATCH(64,'BASE DE DATOS'!$Z$5:$Z$152,0)),"")</f>
        <v/>
      </c>
      <c r="I68" s="14" t="str">
        <f>IFERROR(INDEX('BASE DE DATOS'!$P$5:$P$152,MATCH(64,'BASE DE DATOS'!$Z$5:$Z$152,0)),"")</f>
        <v/>
      </c>
      <c r="J68" s="26" t="str">
        <f>IFERROR(INDEX('BASE DE DATOS'!$Q$5:$Q$152,MATCH(64,'BASE DE DATOS'!$Z$5:$Z$152,0)),"")</f>
        <v/>
      </c>
      <c r="K68" s="28" t="str">
        <f>IFERROR(INDEX('BASE DE DATOS'!$R$5:$R$152,MATCH(64,'BASE DE DATOS'!$Z$5:$Z$152,0)),"")</f>
        <v/>
      </c>
      <c r="L68" s="28" t="str">
        <f>IFERROR(INDEX('BASE DE DATOS'!$S$5:$S$152,MATCH(64,'BASE DE DATOS'!$Z$5:$Z$152,0)),"")</f>
        <v/>
      </c>
      <c r="M68" s="28" t="str">
        <f>IFERROR(INDEX('BASE DE DATOS'!$T$5:$T$152,MATCH(64,'BASE DE DATOS'!$Z$5:$Z$152,0)),"")</f>
        <v/>
      </c>
      <c r="N68" s="27" t="str">
        <f>IFERROR(INDEX('BASE DE DATOS'!$W$5:$W$152,MATCH(64,'BASE DE DATOS'!$Z$5:$Z$152,0)),"")</f>
        <v/>
      </c>
      <c r="O68" s="28" t="str">
        <f>IFERROR(INDEX('BASE DE DATOS'!$U$5:$U$152,MATCH(64,'BASE DE DATOS'!$Z$5:$Z$152,0)),"")</f>
        <v/>
      </c>
    </row>
    <row r="69" spans="1:15" x14ac:dyDescent="0.3">
      <c r="A69" s="9">
        <v>65</v>
      </c>
      <c r="B69" s="28" t="str">
        <f>IFERROR(INDEX('BASE DE DATOS'!$A$5:$A$152,MATCH(65,'BASE DE DATOS'!$Z$5:$Z$152,0)),"")</f>
        <v/>
      </c>
      <c r="C69" s="27" t="str">
        <f>IFERROR(INDEX('BASE DE DATOS'!$B$5:$B$152,MATCH(65,'BASE DE DATOS'!$Z$5:$Z$152,0)),"")</f>
        <v/>
      </c>
      <c r="D69" s="28" t="str">
        <f>IFERROR(INDEX('BASE DE DATOS'!$C$5:$C$152,MATCH(65,'BASE DE DATOS'!$Z$5:$Z$152,0)),"")</f>
        <v/>
      </c>
      <c r="E69" s="28" t="str">
        <f>IFERROR(INDEX('BASE DE DATOS'!$D$5:$D$152,MATCH(65,'BASE DE DATOS'!$Z$5:$Z$152,0)),"")</f>
        <v/>
      </c>
      <c r="F69" s="28" t="str">
        <f>IFERROR(INDEX('BASE DE DATOS'!$E$5:$E$152,MATCH(65,'BASE DE DATOS'!$Z$5:$Z$152,0)),"")</f>
        <v/>
      </c>
      <c r="G69" s="27" t="str">
        <f>IFERROR(INDEX('BASE DE DATOS'!$F$5:$F$152,MATCH(65,'BASE DE DATOS'!$Z$5:$Z$152,0)),"")</f>
        <v/>
      </c>
      <c r="H69" s="29" t="str">
        <f>IFERROR(INDEX('BASE DE DATOS'!$G$5:$G$152,MATCH(65,'BASE DE DATOS'!$Z$5:$Z$152,0)),"")</f>
        <v/>
      </c>
      <c r="I69" s="14" t="str">
        <f>IFERROR(INDEX('BASE DE DATOS'!$P$5:$P$152,MATCH(65,'BASE DE DATOS'!$Z$5:$Z$152,0)),"")</f>
        <v/>
      </c>
      <c r="J69" s="26" t="str">
        <f>IFERROR(INDEX('BASE DE DATOS'!$Q$5:$Q$152,MATCH(65,'BASE DE DATOS'!$Z$5:$Z$152,0)),"")</f>
        <v/>
      </c>
      <c r="K69" s="28" t="str">
        <f>IFERROR(INDEX('BASE DE DATOS'!$R$5:$R$152,MATCH(65,'BASE DE DATOS'!$Z$5:$Z$152,0)),"")</f>
        <v/>
      </c>
      <c r="L69" s="28" t="str">
        <f>IFERROR(INDEX('BASE DE DATOS'!$S$5:$S$152,MATCH(65,'BASE DE DATOS'!$Z$5:$Z$152,0)),"")</f>
        <v/>
      </c>
      <c r="M69" s="28" t="str">
        <f>IFERROR(INDEX('BASE DE DATOS'!$T$5:$T$152,MATCH(65,'BASE DE DATOS'!$Z$5:$Z$152,0)),"")</f>
        <v/>
      </c>
      <c r="N69" s="27" t="str">
        <f>IFERROR(INDEX('BASE DE DATOS'!$W$5:$W$152,MATCH(65,'BASE DE DATOS'!$Z$5:$Z$152,0)),"")</f>
        <v/>
      </c>
      <c r="O69" s="28" t="str">
        <f>IFERROR(INDEX('BASE DE DATOS'!$U$5:$U$152,MATCH(65,'BASE DE DATOS'!$Z$5:$Z$152,0)),"")</f>
        <v/>
      </c>
    </row>
    <row r="70" spans="1:15" x14ac:dyDescent="0.3">
      <c r="A70" s="9">
        <v>66</v>
      </c>
      <c r="B70" s="28" t="str">
        <f>IFERROR(INDEX('BASE DE DATOS'!$A$5:$A$152,MATCH(66,'BASE DE DATOS'!$Z$5:$Z$152,0)),"")</f>
        <v/>
      </c>
      <c r="C70" s="27" t="str">
        <f>IFERROR(INDEX('BASE DE DATOS'!$B$5:$B$152,MATCH(66,'BASE DE DATOS'!$Z$5:$Z$152,0)),"")</f>
        <v/>
      </c>
      <c r="D70" s="28" t="str">
        <f>IFERROR(INDEX('BASE DE DATOS'!$C$5:$C$152,MATCH(66,'BASE DE DATOS'!$Z$5:$Z$152,0)),"")</f>
        <v/>
      </c>
      <c r="E70" s="28" t="str">
        <f>IFERROR(INDEX('BASE DE DATOS'!$D$5:$D$152,MATCH(66,'BASE DE DATOS'!$Z$5:$Z$152,0)),"")</f>
        <v/>
      </c>
      <c r="F70" s="28" t="str">
        <f>IFERROR(INDEX('BASE DE DATOS'!$E$5:$E$152,MATCH(66,'BASE DE DATOS'!$Z$5:$Z$152,0)),"")</f>
        <v/>
      </c>
      <c r="G70" s="27" t="str">
        <f>IFERROR(INDEX('BASE DE DATOS'!$F$5:$F$152,MATCH(66,'BASE DE DATOS'!$Z$5:$Z$152,0)),"")</f>
        <v/>
      </c>
      <c r="H70" s="29" t="str">
        <f>IFERROR(INDEX('BASE DE DATOS'!$G$5:$G$152,MATCH(66,'BASE DE DATOS'!$Z$5:$Z$152,0)),"")</f>
        <v/>
      </c>
      <c r="I70" s="14" t="str">
        <f>IFERROR(INDEX('BASE DE DATOS'!$P$5:$P$152,MATCH(66,'BASE DE DATOS'!$Z$5:$Z$152,0)),"")</f>
        <v/>
      </c>
      <c r="J70" s="26" t="str">
        <f>IFERROR(INDEX('BASE DE DATOS'!$Q$5:$Q$152,MATCH(66,'BASE DE DATOS'!$Z$5:$Z$152,0)),"")</f>
        <v/>
      </c>
      <c r="K70" s="28" t="str">
        <f>IFERROR(INDEX('BASE DE DATOS'!$R$5:$R$152,MATCH(66,'BASE DE DATOS'!$Z$5:$Z$152,0)),"")</f>
        <v/>
      </c>
      <c r="L70" s="28" t="str">
        <f>IFERROR(INDEX('BASE DE DATOS'!$S$5:$S$152,MATCH(66,'BASE DE DATOS'!$Z$5:$Z$152,0)),"")</f>
        <v/>
      </c>
      <c r="M70" s="28" t="str">
        <f>IFERROR(INDEX('BASE DE DATOS'!$T$5:$T$152,MATCH(66,'BASE DE DATOS'!$Z$5:$Z$152,0)),"")</f>
        <v/>
      </c>
      <c r="N70" s="27" t="str">
        <f>IFERROR(INDEX('BASE DE DATOS'!$W$5:$W$152,MATCH(66,'BASE DE DATOS'!$Z$5:$Z$152,0)),"")</f>
        <v/>
      </c>
      <c r="O70" s="28" t="str">
        <f>IFERROR(INDEX('BASE DE DATOS'!$U$5:$U$152,MATCH(66,'BASE DE DATOS'!$Z$5:$Z$152,0)),"")</f>
        <v/>
      </c>
    </row>
    <row r="71" spans="1:15" x14ac:dyDescent="0.3">
      <c r="A71" s="9">
        <v>67</v>
      </c>
      <c r="B71" s="28" t="str">
        <f>IFERROR(INDEX('BASE DE DATOS'!$A$5:$A$152,MATCH(67,'BASE DE DATOS'!$Z$5:$Z$152,0)),"")</f>
        <v/>
      </c>
      <c r="C71" s="27" t="str">
        <f>IFERROR(INDEX('BASE DE DATOS'!$B$5:$B$152,MATCH(67,'BASE DE DATOS'!$Z$5:$Z$152,0)),"")</f>
        <v/>
      </c>
      <c r="D71" s="28" t="str">
        <f>IFERROR(INDEX('BASE DE DATOS'!$C$5:$C$152,MATCH(67,'BASE DE DATOS'!$Z$5:$Z$152,0)),"")</f>
        <v/>
      </c>
      <c r="E71" s="28" t="str">
        <f>IFERROR(INDEX('BASE DE DATOS'!$D$5:$D$152,MATCH(67,'BASE DE DATOS'!$Z$5:$Z$152,0)),"")</f>
        <v/>
      </c>
      <c r="F71" s="28" t="str">
        <f>IFERROR(INDEX('BASE DE DATOS'!$E$5:$E$152,MATCH(67,'BASE DE DATOS'!$Z$5:$Z$152,0)),"")</f>
        <v/>
      </c>
      <c r="G71" s="27" t="str">
        <f>IFERROR(INDEX('BASE DE DATOS'!$F$5:$F$152,MATCH(67,'BASE DE DATOS'!$Z$5:$Z$152,0)),"")</f>
        <v/>
      </c>
      <c r="H71" s="29" t="str">
        <f>IFERROR(INDEX('BASE DE DATOS'!$G$5:$G$152,MATCH(67,'BASE DE DATOS'!$Z$5:$Z$152,0)),"")</f>
        <v/>
      </c>
      <c r="I71" s="14" t="str">
        <f>IFERROR(INDEX('BASE DE DATOS'!$P$5:$P$152,MATCH(67,'BASE DE DATOS'!$Z$5:$Z$152,0)),"")</f>
        <v/>
      </c>
      <c r="J71" s="26" t="str">
        <f>IFERROR(INDEX('BASE DE DATOS'!$Q$5:$Q$152,MATCH(67,'BASE DE DATOS'!$Z$5:$Z$152,0)),"")</f>
        <v/>
      </c>
      <c r="K71" s="28" t="str">
        <f>IFERROR(INDEX('BASE DE DATOS'!$R$5:$R$152,MATCH(67,'BASE DE DATOS'!$Z$5:$Z$152,0)),"")</f>
        <v/>
      </c>
      <c r="L71" s="28" t="str">
        <f>IFERROR(INDEX('BASE DE DATOS'!$S$5:$S$152,MATCH(67,'BASE DE DATOS'!$Z$5:$Z$152,0)),"")</f>
        <v/>
      </c>
      <c r="M71" s="28" t="str">
        <f>IFERROR(INDEX('BASE DE DATOS'!$T$5:$T$152,MATCH(67,'BASE DE DATOS'!$Z$5:$Z$152,0)),"")</f>
        <v/>
      </c>
      <c r="N71" s="27" t="str">
        <f>IFERROR(INDEX('BASE DE DATOS'!$W$5:$W$152,MATCH(67,'BASE DE DATOS'!$Z$5:$Z$152,0)),"")</f>
        <v/>
      </c>
      <c r="O71" s="28" t="str">
        <f>IFERROR(INDEX('BASE DE DATOS'!$U$5:$U$152,MATCH(67,'BASE DE DATOS'!$Z$5:$Z$152,0)),"")</f>
        <v/>
      </c>
    </row>
    <row r="72" spans="1:15" x14ac:dyDescent="0.3">
      <c r="A72" s="9">
        <v>68</v>
      </c>
      <c r="B72" s="28" t="str">
        <f>IFERROR(INDEX('BASE DE DATOS'!$A$5:$A$152,MATCH(68,'BASE DE DATOS'!$Z$5:$Z$152,0)),"")</f>
        <v/>
      </c>
      <c r="C72" s="27" t="str">
        <f>IFERROR(INDEX('BASE DE DATOS'!$B$5:$B$152,MATCH(68,'BASE DE DATOS'!$Z$5:$Z$152,0)),"")</f>
        <v/>
      </c>
      <c r="D72" s="28" t="str">
        <f>IFERROR(INDEX('BASE DE DATOS'!$C$5:$C$152,MATCH(68,'BASE DE DATOS'!$Z$5:$Z$152,0)),"")</f>
        <v/>
      </c>
      <c r="E72" s="28" t="str">
        <f>IFERROR(INDEX('BASE DE DATOS'!$D$5:$D$152,MATCH(68,'BASE DE DATOS'!$Z$5:$Z$152,0)),"")</f>
        <v/>
      </c>
      <c r="F72" s="28" t="str">
        <f>IFERROR(INDEX('BASE DE DATOS'!$E$5:$E$152,MATCH(68,'BASE DE DATOS'!$Z$5:$Z$152,0)),"")</f>
        <v/>
      </c>
      <c r="G72" s="27" t="str">
        <f>IFERROR(INDEX('BASE DE DATOS'!$F$5:$F$152,MATCH(68,'BASE DE DATOS'!$Z$5:$Z$152,0)),"")</f>
        <v/>
      </c>
      <c r="H72" s="29" t="str">
        <f>IFERROR(INDEX('BASE DE DATOS'!$G$5:$G$152,MATCH(68,'BASE DE DATOS'!$Z$5:$Z$152,0)),"")</f>
        <v/>
      </c>
      <c r="I72" s="14" t="str">
        <f>IFERROR(INDEX('BASE DE DATOS'!$P$5:$P$152,MATCH(68,'BASE DE DATOS'!$Z$5:$Z$152,0)),"")</f>
        <v/>
      </c>
      <c r="J72" s="26" t="str">
        <f>IFERROR(INDEX('BASE DE DATOS'!$Q$5:$Q$152,MATCH(68,'BASE DE DATOS'!$Z$5:$Z$152,0)),"")</f>
        <v/>
      </c>
      <c r="K72" s="28" t="str">
        <f>IFERROR(INDEX('BASE DE DATOS'!$R$5:$R$152,MATCH(68,'BASE DE DATOS'!$Z$5:$Z$152,0)),"")</f>
        <v/>
      </c>
      <c r="L72" s="28" t="str">
        <f>IFERROR(INDEX('BASE DE DATOS'!$S$5:$S$152,MATCH(68,'BASE DE DATOS'!$Z$5:$Z$152,0)),"")</f>
        <v/>
      </c>
      <c r="M72" s="28" t="str">
        <f>IFERROR(INDEX('BASE DE DATOS'!$T$5:$T$152,MATCH(68,'BASE DE DATOS'!$Z$5:$Z$152,0)),"")</f>
        <v/>
      </c>
      <c r="N72" s="27" t="str">
        <f>IFERROR(INDEX('BASE DE DATOS'!$W$5:$W$152,MATCH(68,'BASE DE DATOS'!$Z$5:$Z$152,0)),"")</f>
        <v/>
      </c>
      <c r="O72" s="28" t="str">
        <f>IFERROR(INDEX('BASE DE DATOS'!$U$5:$U$152,MATCH(68,'BASE DE DATOS'!$Z$5:$Z$152,0)),"")</f>
        <v/>
      </c>
    </row>
    <row r="73" spans="1:15" x14ac:dyDescent="0.3">
      <c r="A73" s="9">
        <v>69</v>
      </c>
      <c r="B73" s="28" t="str">
        <f>IFERROR(INDEX('BASE DE DATOS'!$A$5:$A$152,MATCH(69,'BASE DE DATOS'!$Z$5:$Z$152,0)),"")</f>
        <v/>
      </c>
      <c r="C73" s="27" t="str">
        <f>IFERROR(INDEX('BASE DE DATOS'!$B$5:$B$152,MATCH(69,'BASE DE DATOS'!$Z$5:$Z$152,0)),"")</f>
        <v/>
      </c>
      <c r="D73" s="28" t="str">
        <f>IFERROR(INDEX('BASE DE DATOS'!$C$5:$C$152,MATCH(69,'BASE DE DATOS'!$Z$5:$Z$152,0)),"")</f>
        <v/>
      </c>
      <c r="E73" s="28" t="str">
        <f>IFERROR(INDEX('BASE DE DATOS'!$D$5:$D$152,MATCH(69,'BASE DE DATOS'!$Z$5:$Z$152,0)),"")</f>
        <v/>
      </c>
      <c r="F73" s="28" t="str">
        <f>IFERROR(INDEX('BASE DE DATOS'!$E$5:$E$152,MATCH(69,'BASE DE DATOS'!$Z$5:$Z$152,0)),"")</f>
        <v/>
      </c>
      <c r="G73" s="27" t="str">
        <f>IFERROR(INDEX('BASE DE DATOS'!$F$5:$F$152,MATCH(69,'BASE DE DATOS'!$Z$5:$Z$152,0)),"")</f>
        <v/>
      </c>
      <c r="H73" s="29" t="str">
        <f>IFERROR(INDEX('BASE DE DATOS'!$G$5:$G$152,MATCH(69,'BASE DE DATOS'!$Z$5:$Z$152,0)),"")</f>
        <v/>
      </c>
      <c r="I73" s="14" t="str">
        <f>IFERROR(INDEX('BASE DE DATOS'!$P$5:$P$152,MATCH(69,'BASE DE DATOS'!$Z$5:$Z$152,0)),"")</f>
        <v/>
      </c>
      <c r="J73" s="26" t="str">
        <f>IFERROR(INDEX('BASE DE DATOS'!$Q$5:$Q$152,MATCH(69,'BASE DE DATOS'!$Z$5:$Z$152,0)),"")</f>
        <v/>
      </c>
      <c r="K73" s="28" t="str">
        <f>IFERROR(INDEX('BASE DE DATOS'!$R$5:$R$152,MATCH(69,'BASE DE DATOS'!$Z$5:$Z$152,0)),"")</f>
        <v/>
      </c>
      <c r="L73" s="28" t="str">
        <f>IFERROR(INDEX('BASE DE DATOS'!$S$5:$S$152,MATCH(69,'BASE DE DATOS'!$Z$5:$Z$152,0)),"")</f>
        <v/>
      </c>
      <c r="M73" s="28" t="str">
        <f>IFERROR(INDEX('BASE DE DATOS'!$T$5:$T$152,MATCH(69,'BASE DE DATOS'!$Z$5:$Z$152,0)),"")</f>
        <v/>
      </c>
      <c r="N73" s="27" t="str">
        <f>IFERROR(INDEX('BASE DE DATOS'!$W$5:$W$152,MATCH(69,'BASE DE DATOS'!$Z$5:$Z$152,0)),"")</f>
        <v/>
      </c>
      <c r="O73" s="28" t="str">
        <f>IFERROR(INDEX('BASE DE DATOS'!$U$5:$U$152,MATCH(69,'BASE DE DATOS'!$Z$5:$Z$152,0)),"")</f>
        <v/>
      </c>
    </row>
    <row r="74" spans="1:15" x14ac:dyDescent="0.3">
      <c r="A74" s="9">
        <v>70</v>
      </c>
      <c r="B74" s="28" t="str">
        <f>IFERROR(INDEX('BASE DE DATOS'!$A$5:$A$152,MATCH(70,'BASE DE DATOS'!$Z$5:$Z$152,0)),"")</f>
        <v/>
      </c>
      <c r="C74" s="27" t="str">
        <f>IFERROR(INDEX('BASE DE DATOS'!$B$5:$B$152,MATCH(70,'BASE DE DATOS'!$Z$5:$Z$152,0)),"")</f>
        <v/>
      </c>
      <c r="D74" s="28" t="str">
        <f>IFERROR(INDEX('BASE DE DATOS'!$C$5:$C$152,MATCH(70,'BASE DE DATOS'!$Z$5:$Z$152,0)),"")</f>
        <v/>
      </c>
      <c r="E74" s="28" t="str">
        <f>IFERROR(INDEX('BASE DE DATOS'!$D$5:$D$152,MATCH(70,'BASE DE DATOS'!$Z$5:$Z$152,0)),"")</f>
        <v/>
      </c>
      <c r="F74" s="28" t="str">
        <f>IFERROR(INDEX('BASE DE DATOS'!$E$5:$E$152,MATCH(70,'BASE DE DATOS'!$Z$5:$Z$152,0)),"")</f>
        <v/>
      </c>
      <c r="G74" s="27" t="str">
        <f>IFERROR(INDEX('BASE DE DATOS'!$F$5:$F$152,MATCH(70,'BASE DE DATOS'!$Z$5:$Z$152,0)),"")</f>
        <v/>
      </c>
      <c r="H74" s="29" t="str">
        <f>IFERROR(INDEX('BASE DE DATOS'!$G$5:$G$152,MATCH(70,'BASE DE DATOS'!$Z$5:$Z$152,0)),"")</f>
        <v/>
      </c>
      <c r="I74" s="14" t="str">
        <f>IFERROR(INDEX('BASE DE DATOS'!$P$5:$P$152,MATCH(70,'BASE DE DATOS'!$Z$5:$Z$152,0)),"")</f>
        <v/>
      </c>
      <c r="J74" s="26" t="str">
        <f>IFERROR(INDEX('BASE DE DATOS'!$Q$5:$Q$152,MATCH(70,'BASE DE DATOS'!$Z$5:$Z$152,0)),"")</f>
        <v/>
      </c>
      <c r="K74" s="28" t="str">
        <f>IFERROR(INDEX('BASE DE DATOS'!$R$5:$R$152,MATCH(70,'BASE DE DATOS'!$Z$5:$Z$152,0)),"")</f>
        <v/>
      </c>
      <c r="L74" s="28" t="str">
        <f>IFERROR(INDEX('BASE DE DATOS'!$S$5:$S$152,MATCH(70,'BASE DE DATOS'!$Z$5:$Z$152,0)),"")</f>
        <v/>
      </c>
      <c r="M74" s="28" t="str">
        <f>IFERROR(INDEX('BASE DE DATOS'!$T$5:$T$152,MATCH(70,'BASE DE DATOS'!$Z$5:$Z$152,0)),"")</f>
        <v/>
      </c>
      <c r="N74" s="27" t="str">
        <f>IFERROR(INDEX('BASE DE DATOS'!$W$5:$W$152,MATCH(70,'BASE DE DATOS'!$Z$5:$Z$152,0)),"")</f>
        <v/>
      </c>
      <c r="O74" s="28" t="str">
        <f>IFERROR(INDEX('BASE DE DATOS'!$U$5:$U$152,MATCH(70,'BASE DE DATOS'!$Z$5:$Z$152,0)),"")</f>
        <v/>
      </c>
    </row>
    <row r="75" spans="1:15" x14ac:dyDescent="0.3">
      <c r="A75" s="9">
        <v>71</v>
      </c>
      <c r="B75" s="28" t="str">
        <f>IFERROR(INDEX('BASE DE DATOS'!$A$5:$A$152,MATCH(71,'BASE DE DATOS'!$Z$5:$Z$152,0)),"")</f>
        <v/>
      </c>
      <c r="C75" s="27" t="str">
        <f>IFERROR(INDEX('BASE DE DATOS'!$B$5:$B$152,MATCH(71,'BASE DE DATOS'!$Z$5:$Z$152,0)),"")</f>
        <v/>
      </c>
      <c r="D75" s="28" t="str">
        <f>IFERROR(INDEX('BASE DE DATOS'!$C$5:$C$152,MATCH(71,'BASE DE DATOS'!$Z$5:$Z$152,0)),"")</f>
        <v/>
      </c>
      <c r="E75" s="28" t="str">
        <f>IFERROR(INDEX('BASE DE DATOS'!$D$5:$D$152,MATCH(71,'BASE DE DATOS'!$Z$5:$Z$152,0)),"")</f>
        <v/>
      </c>
      <c r="F75" s="28" t="str">
        <f>IFERROR(INDEX('BASE DE DATOS'!$E$5:$E$152,MATCH(71,'BASE DE DATOS'!$Z$5:$Z$152,0)),"")</f>
        <v/>
      </c>
      <c r="G75" s="27" t="str">
        <f>IFERROR(INDEX('BASE DE DATOS'!$F$5:$F$152,MATCH(71,'BASE DE DATOS'!$Z$5:$Z$152,0)),"")</f>
        <v/>
      </c>
      <c r="H75" s="29" t="str">
        <f>IFERROR(INDEX('BASE DE DATOS'!$G$5:$G$152,MATCH(71,'BASE DE DATOS'!$Z$5:$Z$152,0)),"")</f>
        <v/>
      </c>
      <c r="I75" s="14" t="str">
        <f>IFERROR(INDEX('BASE DE DATOS'!$P$5:$P$152,MATCH(71,'BASE DE DATOS'!$Z$5:$Z$152,0)),"")</f>
        <v/>
      </c>
      <c r="J75" s="26" t="str">
        <f>IFERROR(INDEX('BASE DE DATOS'!$Q$5:$Q$152,MATCH(71,'BASE DE DATOS'!$Z$5:$Z$152,0)),"")</f>
        <v/>
      </c>
      <c r="K75" s="28" t="str">
        <f>IFERROR(INDEX('BASE DE DATOS'!$R$5:$R$152,MATCH(71,'BASE DE DATOS'!$Z$5:$Z$152,0)),"")</f>
        <v/>
      </c>
      <c r="L75" s="28" t="str">
        <f>IFERROR(INDEX('BASE DE DATOS'!$S$5:$S$152,MATCH(71,'BASE DE DATOS'!$Z$5:$Z$152,0)),"")</f>
        <v/>
      </c>
      <c r="M75" s="28" t="str">
        <f>IFERROR(INDEX('BASE DE DATOS'!$T$5:$T$152,MATCH(71,'BASE DE DATOS'!$Z$5:$Z$152,0)),"")</f>
        <v/>
      </c>
      <c r="N75" s="27" t="str">
        <f>IFERROR(INDEX('BASE DE DATOS'!$W$5:$W$152,MATCH(71,'BASE DE DATOS'!$Z$5:$Z$152,0)),"")</f>
        <v/>
      </c>
      <c r="O75" s="28" t="str">
        <f>IFERROR(INDEX('BASE DE DATOS'!$U$5:$U$152,MATCH(71,'BASE DE DATOS'!$Z$5:$Z$152,0)),"")</f>
        <v/>
      </c>
    </row>
    <row r="76" spans="1:15" x14ac:dyDescent="0.3">
      <c r="A76" s="9">
        <v>72</v>
      </c>
      <c r="B76" s="28" t="str">
        <f>IFERROR(INDEX('BASE DE DATOS'!$A$5:$A$152,MATCH(72,'BASE DE DATOS'!$Z$5:$Z$152,0)),"")</f>
        <v/>
      </c>
      <c r="C76" s="27" t="str">
        <f>IFERROR(INDEX('BASE DE DATOS'!$B$5:$B$152,MATCH(72,'BASE DE DATOS'!$Z$5:$Z$152,0)),"")</f>
        <v/>
      </c>
      <c r="D76" s="28" t="str">
        <f>IFERROR(INDEX('BASE DE DATOS'!$C$5:$C$152,MATCH(72,'BASE DE DATOS'!$Z$5:$Z$152,0)),"")</f>
        <v/>
      </c>
      <c r="E76" s="28" t="str">
        <f>IFERROR(INDEX('BASE DE DATOS'!$D$5:$D$152,MATCH(72,'BASE DE DATOS'!$Z$5:$Z$152,0)),"")</f>
        <v/>
      </c>
      <c r="F76" s="28" t="str">
        <f>IFERROR(INDEX('BASE DE DATOS'!$E$5:$E$152,MATCH(72,'BASE DE DATOS'!$Z$5:$Z$152,0)),"")</f>
        <v/>
      </c>
      <c r="G76" s="27" t="str">
        <f>IFERROR(INDEX('BASE DE DATOS'!$F$5:$F$152,MATCH(72,'BASE DE DATOS'!$Z$5:$Z$152,0)),"")</f>
        <v/>
      </c>
      <c r="H76" s="29" t="str">
        <f>IFERROR(INDEX('BASE DE DATOS'!$G$5:$G$152,MATCH(72,'BASE DE DATOS'!$Z$5:$Z$152,0)),"")</f>
        <v/>
      </c>
      <c r="I76" s="14" t="str">
        <f>IFERROR(INDEX('BASE DE DATOS'!$P$5:$P$152,MATCH(72,'BASE DE DATOS'!$Z$5:$Z$152,0)),"")</f>
        <v/>
      </c>
      <c r="J76" s="26" t="str">
        <f>IFERROR(INDEX('BASE DE DATOS'!$Q$5:$Q$152,MATCH(72,'BASE DE DATOS'!$Z$5:$Z$152,0)),"")</f>
        <v/>
      </c>
      <c r="K76" s="28" t="str">
        <f>IFERROR(INDEX('BASE DE DATOS'!$R$5:$R$152,MATCH(72,'BASE DE DATOS'!$Z$5:$Z$152,0)),"")</f>
        <v/>
      </c>
      <c r="L76" s="28" t="str">
        <f>IFERROR(INDEX('BASE DE DATOS'!$S$5:$S$152,MATCH(72,'BASE DE DATOS'!$Z$5:$Z$152,0)),"")</f>
        <v/>
      </c>
      <c r="M76" s="28" t="str">
        <f>IFERROR(INDEX('BASE DE DATOS'!$T$5:$T$152,MATCH(72,'BASE DE DATOS'!$Z$5:$Z$152,0)),"")</f>
        <v/>
      </c>
      <c r="N76" s="27" t="str">
        <f>IFERROR(INDEX('BASE DE DATOS'!$W$5:$W$152,MATCH(72,'BASE DE DATOS'!$Z$5:$Z$152,0)),"")</f>
        <v/>
      </c>
      <c r="O76" s="28" t="str">
        <f>IFERROR(INDEX('BASE DE DATOS'!$U$5:$U$152,MATCH(72,'BASE DE DATOS'!$Z$5:$Z$152,0)),"")</f>
        <v/>
      </c>
    </row>
    <row r="77" spans="1:15" x14ac:dyDescent="0.3">
      <c r="A77" s="9">
        <v>73</v>
      </c>
      <c r="B77" s="28" t="str">
        <f>IFERROR(INDEX('BASE DE DATOS'!$A$5:$A$152,MATCH(73,'BASE DE DATOS'!$Z$5:$Z$152,0)),"")</f>
        <v/>
      </c>
      <c r="C77" s="27" t="str">
        <f>IFERROR(INDEX('BASE DE DATOS'!$B$5:$B$152,MATCH(73,'BASE DE DATOS'!$Z$5:$Z$152,0)),"")</f>
        <v/>
      </c>
      <c r="D77" s="28" t="str">
        <f>IFERROR(INDEX('BASE DE DATOS'!$C$5:$C$152,MATCH(73,'BASE DE DATOS'!$Z$5:$Z$152,0)),"")</f>
        <v/>
      </c>
      <c r="E77" s="28" t="str">
        <f>IFERROR(INDEX('BASE DE DATOS'!$D$5:$D$152,MATCH(73,'BASE DE DATOS'!$Z$5:$Z$152,0)),"")</f>
        <v/>
      </c>
      <c r="F77" s="28" t="str">
        <f>IFERROR(INDEX('BASE DE DATOS'!$E$5:$E$152,MATCH(73,'BASE DE DATOS'!$Z$5:$Z$152,0)),"")</f>
        <v/>
      </c>
      <c r="G77" s="27" t="str">
        <f>IFERROR(INDEX('BASE DE DATOS'!$F$5:$F$152,MATCH(73,'BASE DE DATOS'!$Z$5:$Z$152,0)),"")</f>
        <v/>
      </c>
      <c r="H77" s="29" t="str">
        <f>IFERROR(INDEX('BASE DE DATOS'!$G$5:$G$152,MATCH(73,'BASE DE DATOS'!$Z$5:$Z$152,0)),"")</f>
        <v/>
      </c>
      <c r="I77" s="14" t="str">
        <f>IFERROR(INDEX('BASE DE DATOS'!$P$5:$P$152,MATCH(73,'BASE DE DATOS'!$Z$5:$Z$152,0)),"")</f>
        <v/>
      </c>
      <c r="J77" s="26" t="str">
        <f>IFERROR(INDEX('BASE DE DATOS'!$Q$5:$Q$152,MATCH(73,'BASE DE DATOS'!$Z$5:$Z$152,0)),"")</f>
        <v/>
      </c>
      <c r="K77" s="28" t="str">
        <f>IFERROR(INDEX('BASE DE DATOS'!$R$5:$R$152,MATCH(73,'BASE DE DATOS'!$Z$5:$Z$152,0)),"")</f>
        <v/>
      </c>
      <c r="L77" s="28" t="str">
        <f>IFERROR(INDEX('BASE DE DATOS'!$S$5:$S$152,MATCH(73,'BASE DE DATOS'!$Z$5:$Z$152,0)),"")</f>
        <v/>
      </c>
      <c r="M77" s="28" t="str">
        <f>IFERROR(INDEX('BASE DE DATOS'!$T$5:$T$152,MATCH(73,'BASE DE DATOS'!$Z$5:$Z$152,0)),"")</f>
        <v/>
      </c>
      <c r="N77" s="27" t="str">
        <f>IFERROR(INDEX('BASE DE DATOS'!$W$5:$W$152,MATCH(73,'BASE DE DATOS'!$Z$5:$Z$152,0)),"")</f>
        <v/>
      </c>
      <c r="O77" s="28" t="str">
        <f>IFERROR(INDEX('BASE DE DATOS'!$U$5:$U$152,MATCH(73,'BASE DE DATOS'!$Z$5:$Z$152,0)),"")</f>
        <v/>
      </c>
    </row>
    <row r="78" spans="1:15" x14ac:dyDescent="0.3">
      <c r="A78" s="9">
        <v>74</v>
      </c>
      <c r="B78" s="28" t="str">
        <f>IFERROR(INDEX('BASE DE DATOS'!$A$5:$A$152,MATCH(74,'BASE DE DATOS'!$Z$5:$Z$152,0)),"")</f>
        <v/>
      </c>
      <c r="C78" s="27" t="str">
        <f>IFERROR(INDEX('BASE DE DATOS'!$B$5:$B$152,MATCH(74,'BASE DE DATOS'!$Z$5:$Z$152,0)),"")</f>
        <v/>
      </c>
      <c r="D78" s="28" t="str">
        <f>IFERROR(INDEX('BASE DE DATOS'!$C$5:$C$152,MATCH(74,'BASE DE DATOS'!$Z$5:$Z$152,0)),"")</f>
        <v/>
      </c>
      <c r="E78" s="28" t="str">
        <f>IFERROR(INDEX('BASE DE DATOS'!$D$5:$D$152,MATCH(74,'BASE DE DATOS'!$Z$5:$Z$152,0)),"")</f>
        <v/>
      </c>
      <c r="F78" s="28" t="str">
        <f>IFERROR(INDEX('BASE DE DATOS'!$E$5:$E$152,MATCH(74,'BASE DE DATOS'!$Z$5:$Z$152,0)),"")</f>
        <v/>
      </c>
      <c r="G78" s="27" t="str">
        <f>IFERROR(INDEX('BASE DE DATOS'!$F$5:$F$152,MATCH(74,'BASE DE DATOS'!$Z$5:$Z$152,0)),"")</f>
        <v/>
      </c>
      <c r="H78" s="29" t="str">
        <f>IFERROR(INDEX('BASE DE DATOS'!$G$5:$G$152,MATCH(74,'BASE DE DATOS'!$Z$5:$Z$152,0)),"")</f>
        <v/>
      </c>
      <c r="I78" s="14" t="str">
        <f>IFERROR(INDEX('BASE DE DATOS'!$P$5:$P$152,MATCH(74,'BASE DE DATOS'!$Z$5:$Z$152,0)),"")</f>
        <v/>
      </c>
      <c r="J78" s="26" t="str">
        <f>IFERROR(INDEX('BASE DE DATOS'!$Q$5:$Q$152,MATCH(74,'BASE DE DATOS'!$Z$5:$Z$152,0)),"")</f>
        <v/>
      </c>
      <c r="K78" s="28" t="str">
        <f>IFERROR(INDEX('BASE DE DATOS'!$R$5:$R$152,MATCH(74,'BASE DE DATOS'!$Z$5:$Z$152,0)),"")</f>
        <v/>
      </c>
      <c r="L78" s="28" t="str">
        <f>IFERROR(INDEX('BASE DE DATOS'!$S$5:$S$152,MATCH(74,'BASE DE DATOS'!$Z$5:$Z$152,0)),"")</f>
        <v/>
      </c>
      <c r="M78" s="28" t="str">
        <f>IFERROR(INDEX('BASE DE DATOS'!$T$5:$T$152,MATCH(74,'BASE DE DATOS'!$Z$5:$Z$152,0)),"")</f>
        <v/>
      </c>
      <c r="N78" s="27" t="str">
        <f>IFERROR(INDEX('BASE DE DATOS'!$W$5:$W$152,MATCH(74,'BASE DE DATOS'!$Z$5:$Z$152,0)),"")</f>
        <v/>
      </c>
      <c r="O78" s="28" t="str">
        <f>IFERROR(INDEX('BASE DE DATOS'!$U$5:$U$152,MATCH(74,'BASE DE DATOS'!$Z$5:$Z$152,0)),"")</f>
        <v/>
      </c>
    </row>
    <row r="79" spans="1:15" x14ac:dyDescent="0.3">
      <c r="A79" s="9">
        <v>75</v>
      </c>
      <c r="B79" s="28" t="str">
        <f>IFERROR(INDEX('BASE DE DATOS'!$A$5:$A$152,MATCH(75,'BASE DE DATOS'!$Z$5:$Z$152,0)),"")</f>
        <v/>
      </c>
      <c r="C79" s="27" t="str">
        <f>IFERROR(INDEX('BASE DE DATOS'!$B$5:$B$152,MATCH(75,'BASE DE DATOS'!$Z$5:$Z$152,0)),"")</f>
        <v/>
      </c>
      <c r="D79" s="28" t="str">
        <f>IFERROR(INDEX('BASE DE DATOS'!$C$5:$C$152,MATCH(75,'BASE DE DATOS'!$Z$5:$Z$152,0)),"")</f>
        <v/>
      </c>
      <c r="E79" s="28" t="str">
        <f>IFERROR(INDEX('BASE DE DATOS'!$D$5:$D$152,MATCH(75,'BASE DE DATOS'!$Z$5:$Z$152,0)),"")</f>
        <v/>
      </c>
      <c r="F79" s="28" t="str">
        <f>IFERROR(INDEX('BASE DE DATOS'!$E$5:$E$152,MATCH(75,'BASE DE DATOS'!$Z$5:$Z$152,0)),"")</f>
        <v/>
      </c>
      <c r="G79" s="27" t="str">
        <f>IFERROR(INDEX('BASE DE DATOS'!$F$5:$F$152,MATCH(75,'BASE DE DATOS'!$Z$5:$Z$152,0)),"")</f>
        <v/>
      </c>
      <c r="H79" s="29" t="str">
        <f>IFERROR(INDEX('BASE DE DATOS'!$G$5:$G$152,MATCH(75,'BASE DE DATOS'!$Z$5:$Z$152,0)),"")</f>
        <v/>
      </c>
      <c r="I79" s="14" t="str">
        <f>IFERROR(INDEX('BASE DE DATOS'!$P$5:$P$152,MATCH(75,'BASE DE DATOS'!$Z$5:$Z$152,0)),"")</f>
        <v/>
      </c>
      <c r="J79" s="26" t="str">
        <f>IFERROR(INDEX('BASE DE DATOS'!$Q$5:$Q$152,MATCH(75,'BASE DE DATOS'!$Z$5:$Z$152,0)),"")</f>
        <v/>
      </c>
      <c r="K79" s="28" t="str">
        <f>IFERROR(INDEX('BASE DE DATOS'!$R$5:$R$152,MATCH(75,'BASE DE DATOS'!$Z$5:$Z$152,0)),"")</f>
        <v/>
      </c>
      <c r="L79" s="28" t="str">
        <f>IFERROR(INDEX('BASE DE DATOS'!$S$5:$S$152,MATCH(75,'BASE DE DATOS'!$Z$5:$Z$152,0)),"")</f>
        <v/>
      </c>
      <c r="M79" s="28" t="str">
        <f>IFERROR(INDEX('BASE DE DATOS'!$T$5:$T$152,MATCH(75,'BASE DE DATOS'!$Z$5:$Z$152,0)),"")</f>
        <v/>
      </c>
      <c r="N79" s="27" t="str">
        <f>IFERROR(INDEX('BASE DE DATOS'!$W$5:$W$152,MATCH(75,'BASE DE DATOS'!$Z$5:$Z$152,0)),"")</f>
        <v/>
      </c>
      <c r="O79" s="28" t="str">
        <f>IFERROR(INDEX('BASE DE DATOS'!$U$5:$U$152,MATCH(75,'BASE DE DATOS'!$Z$5:$Z$152,0)),"")</f>
        <v/>
      </c>
    </row>
    <row r="80" spans="1:15" x14ac:dyDescent="0.3">
      <c r="A80" s="9">
        <v>76</v>
      </c>
      <c r="B80" s="28" t="str">
        <f>IFERROR(INDEX('BASE DE DATOS'!$A$5:$A$152,MATCH(76,'BASE DE DATOS'!$Z$5:$Z$152,0)),"")</f>
        <v/>
      </c>
      <c r="C80" s="27" t="str">
        <f>IFERROR(INDEX('BASE DE DATOS'!$B$5:$B$152,MATCH(76,'BASE DE DATOS'!$Z$5:$Z$152,0)),"")</f>
        <v/>
      </c>
      <c r="D80" s="28" t="str">
        <f>IFERROR(INDEX('BASE DE DATOS'!$C$5:$C$152,MATCH(76,'BASE DE DATOS'!$Z$5:$Z$152,0)),"")</f>
        <v/>
      </c>
      <c r="E80" s="28" t="str">
        <f>IFERROR(INDEX('BASE DE DATOS'!$D$5:$D$152,MATCH(76,'BASE DE DATOS'!$Z$5:$Z$152,0)),"")</f>
        <v/>
      </c>
      <c r="F80" s="28" t="str">
        <f>IFERROR(INDEX('BASE DE DATOS'!$E$5:$E$152,MATCH(76,'BASE DE DATOS'!$Z$5:$Z$152,0)),"")</f>
        <v/>
      </c>
      <c r="G80" s="27" t="str">
        <f>IFERROR(INDEX('BASE DE DATOS'!$F$5:$F$152,MATCH(76,'BASE DE DATOS'!$Z$5:$Z$152,0)),"")</f>
        <v/>
      </c>
      <c r="H80" s="29" t="str">
        <f>IFERROR(INDEX('BASE DE DATOS'!$G$5:$G$152,MATCH(76,'BASE DE DATOS'!$Z$5:$Z$152,0)),"")</f>
        <v/>
      </c>
      <c r="I80" s="14" t="str">
        <f>IFERROR(INDEX('BASE DE DATOS'!$P$5:$P$152,MATCH(76,'BASE DE DATOS'!$Z$5:$Z$152,0)),"")</f>
        <v/>
      </c>
      <c r="J80" s="26" t="str">
        <f>IFERROR(INDEX('BASE DE DATOS'!$Q$5:$Q$152,MATCH(76,'BASE DE DATOS'!$Z$5:$Z$152,0)),"")</f>
        <v/>
      </c>
      <c r="K80" s="28" t="str">
        <f>IFERROR(INDEX('BASE DE DATOS'!$R$5:$R$152,MATCH(76,'BASE DE DATOS'!$Z$5:$Z$152,0)),"")</f>
        <v/>
      </c>
      <c r="L80" s="28" t="str">
        <f>IFERROR(INDEX('BASE DE DATOS'!$S$5:$S$152,MATCH(76,'BASE DE DATOS'!$Z$5:$Z$152,0)),"")</f>
        <v/>
      </c>
      <c r="M80" s="28" t="str">
        <f>IFERROR(INDEX('BASE DE DATOS'!$T$5:$T$152,MATCH(76,'BASE DE DATOS'!$Z$5:$Z$152,0)),"")</f>
        <v/>
      </c>
      <c r="N80" s="27" t="str">
        <f>IFERROR(INDEX('BASE DE DATOS'!$W$5:$W$152,MATCH(76,'BASE DE DATOS'!$Z$5:$Z$152,0)),"")</f>
        <v/>
      </c>
      <c r="O80" s="28" t="str">
        <f>IFERROR(INDEX('BASE DE DATOS'!$U$5:$U$152,MATCH(76,'BASE DE DATOS'!$Z$5:$Z$152,0)),"")</f>
        <v/>
      </c>
    </row>
    <row r="81" spans="1:15" x14ac:dyDescent="0.3">
      <c r="A81" s="9">
        <v>77</v>
      </c>
      <c r="B81" s="28" t="str">
        <f>IFERROR(INDEX('BASE DE DATOS'!$A$5:$A$152,MATCH(77,'BASE DE DATOS'!$Z$5:$Z$152,0)),"")</f>
        <v/>
      </c>
      <c r="C81" s="27" t="str">
        <f>IFERROR(INDEX('BASE DE DATOS'!$B$5:$B$152,MATCH(77,'BASE DE DATOS'!$Z$5:$Z$152,0)),"")</f>
        <v/>
      </c>
      <c r="D81" s="28" t="str">
        <f>IFERROR(INDEX('BASE DE DATOS'!$C$5:$C$152,MATCH(77,'BASE DE DATOS'!$Z$5:$Z$152,0)),"")</f>
        <v/>
      </c>
      <c r="E81" s="28" t="str">
        <f>IFERROR(INDEX('BASE DE DATOS'!$D$5:$D$152,MATCH(77,'BASE DE DATOS'!$Z$5:$Z$152,0)),"")</f>
        <v/>
      </c>
      <c r="F81" s="28" t="str">
        <f>IFERROR(INDEX('BASE DE DATOS'!$E$5:$E$152,MATCH(77,'BASE DE DATOS'!$Z$5:$Z$152,0)),"")</f>
        <v/>
      </c>
      <c r="G81" s="27" t="str">
        <f>IFERROR(INDEX('BASE DE DATOS'!$F$5:$F$152,MATCH(77,'BASE DE DATOS'!$Z$5:$Z$152,0)),"")</f>
        <v/>
      </c>
      <c r="H81" s="29" t="str">
        <f>IFERROR(INDEX('BASE DE DATOS'!$G$5:$G$152,MATCH(77,'BASE DE DATOS'!$Z$5:$Z$152,0)),"")</f>
        <v/>
      </c>
      <c r="I81" s="14" t="str">
        <f>IFERROR(INDEX('BASE DE DATOS'!$P$5:$P$152,MATCH(77,'BASE DE DATOS'!$Z$5:$Z$152,0)),"")</f>
        <v/>
      </c>
      <c r="J81" s="26" t="str">
        <f>IFERROR(INDEX('BASE DE DATOS'!$Q$5:$Q$152,MATCH(77,'BASE DE DATOS'!$Z$5:$Z$152,0)),"")</f>
        <v/>
      </c>
      <c r="K81" s="28" t="str">
        <f>IFERROR(INDEX('BASE DE DATOS'!$R$5:$R$152,MATCH(77,'BASE DE DATOS'!$Z$5:$Z$152,0)),"")</f>
        <v/>
      </c>
      <c r="L81" s="28" t="str">
        <f>IFERROR(INDEX('BASE DE DATOS'!$S$5:$S$152,MATCH(77,'BASE DE DATOS'!$Z$5:$Z$152,0)),"")</f>
        <v/>
      </c>
      <c r="M81" s="28" t="str">
        <f>IFERROR(INDEX('BASE DE DATOS'!$T$5:$T$152,MATCH(77,'BASE DE DATOS'!$Z$5:$Z$152,0)),"")</f>
        <v/>
      </c>
      <c r="N81" s="27" t="str">
        <f>IFERROR(INDEX('BASE DE DATOS'!$W$5:$W$152,MATCH(77,'BASE DE DATOS'!$Z$5:$Z$152,0)),"")</f>
        <v/>
      </c>
      <c r="O81" s="28" t="str">
        <f>IFERROR(INDEX('BASE DE DATOS'!$U$5:$U$152,MATCH(77,'BASE DE DATOS'!$Z$5:$Z$152,0)),"")</f>
        <v/>
      </c>
    </row>
    <row r="82" spans="1:15" x14ac:dyDescent="0.3">
      <c r="A82" s="9">
        <v>78</v>
      </c>
      <c r="B82" s="28" t="str">
        <f>IFERROR(INDEX('BASE DE DATOS'!$A$5:$A$152,MATCH(78,'BASE DE DATOS'!$Z$5:$Z$152,0)),"")</f>
        <v/>
      </c>
      <c r="C82" s="27" t="str">
        <f>IFERROR(INDEX('BASE DE DATOS'!$B$5:$B$152,MATCH(78,'BASE DE DATOS'!$Z$5:$Z$152,0)),"")</f>
        <v/>
      </c>
      <c r="D82" s="28" t="str">
        <f>IFERROR(INDEX('BASE DE DATOS'!$C$5:$C$152,MATCH(78,'BASE DE DATOS'!$Z$5:$Z$152,0)),"")</f>
        <v/>
      </c>
      <c r="E82" s="28" t="str">
        <f>IFERROR(INDEX('BASE DE DATOS'!$D$5:$D$152,MATCH(78,'BASE DE DATOS'!$Z$5:$Z$152,0)),"")</f>
        <v/>
      </c>
      <c r="F82" s="28" t="str">
        <f>IFERROR(INDEX('BASE DE DATOS'!$E$5:$E$152,MATCH(78,'BASE DE DATOS'!$Z$5:$Z$152,0)),"")</f>
        <v/>
      </c>
      <c r="G82" s="27" t="str">
        <f>IFERROR(INDEX('BASE DE DATOS'!$F$5:$F$152,MATCH(78,'BASE DE DATOS'!$Z$5:$Z$152,0)),"")</f>
        <v/>
      </c>
      <c r="H82" s="29" t="str">
        <f>IFERROR(INDEX('BASE DE DATOS'!$G$5:$G$152,MATCH(78,'BASE DE DATOS'!$Z$5:$Z$152,0)),"")</f>
        <v/>
      </c>
      <c r="I82" s="14" t="str">
        <f>IFERROR(INDEX('BASE DE DATOS'!$P$5:$P$152,MATCH(78,'BASE DE DATOS'!$Z$5:$Z$152,0)),"")</f>
        <v/>
      </c>
      <c r="J82" s="26" t="str">
        <f>IFERROR(INDEX('BASE DE DATOS'!$Q$5:$Q$152,MATCH(78,'BASE DE DATOS'!$Z$5:$Z$152,0)),"")</f>
        <v/>
      </c>
      <c r="K82" s="28" t="str">
        <f>IFERROR(INDEX('BASE DE DATOS'!$R$5:$R$152,MATCH(78,'BASE DE DATOS'!$Z$5:$Z$152,0)),"")</f>
        <v/>
      </c>
      <c r="L82" s="28" t="str">
        <f>IFERROR(INDEX('BASE DE DATOS'!$S$5:$S$152,MATCH(78,'BASE DE DATOS'!$Z$5:$Z$152,0)),"")</f>
        <v/>
      </c>
      <c r="M82" s="28" t="str">
        <f>IFERROR(INDEX('BASE DE DATOS'!$T$5:$T$152,MATCH(78,'BASE DE DATOS'!$Z$5:$Z$152,0)),"")</f>
        <v/>
      </c>
      <c r="N82" s="27" t="str">
        <f>IFERROR(INDEX('BASE DE DATOS'!$W$5:$W$152,MATCH(78,'BASE DE DATOS'!$Z$5:$Z$152,0)),"")</f>
        <v/>
      </c>
      <c r="O82" s="28" t="str">
        <f>IFERROR(INDEX('BASE DE DATOS'!$U$5:$U$152,MATCH(78,'BASE DE DATOS'!$Z$5:$Z$152,0)),"")</f>
        <v/>
      </c>
    </row>
    <row r="83" spans="1:15" x14ac:dyDescent="0.3">
      <c r="A83" s="9">
        <v>79</v>
      </c>
      <c r="B83" s="28" t="str">
        <f>IFERROR(INDEX('BASE DE DATOS'!$A$5:$A$152,MATCH(79,'BASE DE DATOS'!$Z$5:$Z$152,0)),"")</f>
        <v/>
      </c>
      <c r="C83" s="27" t="str">
        <f>IFERROR(INDEX('BASE DE DATOS'!$B$5:$B$152,MATCH(79,'BASE DE DATOS'!$Z$5:$Z$152,0)),"")</f>
        <v/>
      </c>
      <c r="D83" s="28" t="str">
        <f>IFERROR(INDEX('BASE DE DATOS'!$C$5:$C$152,MATCH(79,'BASE DE DATOS'!$Z$5:$Z$152,0)),"")</f>
        <v/>
      </c>
      <c r="E83" s="28" t="str">
        <f>IFERROR(INDEX('BASE DE DATOS'!$D$5:$D$152,MATCH(79,'BASE DE DATOS'!$Z$5:$Z$152,0)),"")</f>
        <v/>
      </c>
      <c r="F83" s="28" t="str">
        <f>IFERROR(INDEX('BASE DE DATOS'!$E$5:$E$152,MATCH(79,'BASE DE DATOS'!$Z$5:$Z$152,0)),"")</f>
        <v/>
      </c>
      <c r="G83" s="27" t="str">
        <f>IFERROR(INDEX('BASE DE DATOS'!$F$5:$F$152,MATCH(79,'BASE DE DATOS'!$Z$5:$Z$152,0)),"")</f>
        <v/>
      </c>
      <c r="H83" s="29" t="str">
        <f>IFERROR(INDEX('BASE DE DATOS'!$G$5:$G$152,MATCH(79,'BASE DE DATOS'!$Z$5:$Z$152,0)),"")</f>
        <v/>
      </c>
      <c r="I83" s="14" t="str">
        <f>IFERROR(INDEX('BASE DE DATOS'!$P$5:$P$152,MATCH(79,'BASE DE DATOS'!$Z$5:$Z$152,0)),"")</f>
        <v/>
      </c>
      <c r="J83" s="26" t="str">
        <f>IFERROR(INDEX('BASE DE DATOS'!$Q$5:$Q$152,MATCH(79,'BASE DE DATOS'!$Z$5:$Z$152,0)),"")</f>
        <v/>
      </c>
      <c r="K83" s="28" t="str">
        <f>IFERROR(INDEX('BASE DE DATOS'!$R$5:$R$152,MATCH(79,'BASE DE DATOS'!$Z$5:$Z$152,0)),"")</f>
        <v/>
      </c>
      <c r="L83" s="28" t="str">
        <f>IFERROR(INDEX('BASE DE DATOS'!$S$5:$S$152,MATCH(79,'BASE DE DATOS'!$Z$5:$Z$152,0)),"")</f>
        <v/>
      </c>
      <c r="M83" s="28" t="str">
        <f>IFERROR(INDEX('BASE DE DATOS'!$T$5:$T$152,MATCH(79,'BASE DE DATOS'!$Z$5:$Z$152,0)),"")</f>
        <v/>
      </c>
      <c r="N83" s="27" t="str">
        <f>IFERROR(INDEX('BASE DE DATOS'!$W$5:$W$152,MATCH(79,'BASE DE DATOS'!$Z$5:$Z$152,0)),"")</f>
        <v/>
      </c>
      <c r="O83" s="28" t="str">
        <f>IFERROR(INDEX('BASE DE DATOS'!$U$5:$U$152,MATCH(79,'BASE DE DATOS'!$Z$5:$Z$152,0)),"")</f>
        <v/>
      </c>
    </row>
    <row r="84" spans="1:15" x14ac:dyDescent="0.3">
      <c r="A84" s="9">
        <v>80</v>
      </c>
      <c r="B84" s="28" t="str">
        <f>IFERROR(INDEX('BASE DE DATOS'!$A$5:$A$152,MATCH(80,'BASE DE DATOS'!$Z$5:$Z$152,0)),"")</f>
        <v/>
      </c>
      <c r="C84" s="27" t="str">
        <f>IFERROR(INDEX('BASE DE DATOS'!$B$5:$B$152,MATCH(80,'BASE DE DATOS'!$Z$5:$Z$152,0)),"")</f>
        <v/>
      </c>
      <c r="D84" s="28" t="str">
        <f>IFERROR(INDEX('BASE DE DATOS'!$C$5:$C$152,MATCH(80,'BASE DE DATOS'!$Z$5:$Z$152,0)),"")</f>
        <v/>
      </c>
      <c r="E84" s="28" t="str">
        <f>IFERROR(INDEX('BASE DE DATOS'!$D$5:$D$152,MATCH(80,'BASE DE DATOS'!$Z$5:$Z$152,0)),"")</f>
        <v/>
      </c>
      <c r="F84" s="28" t="str">
        <f>IFERROR(INDEX('BASE DE DATOS'!$E$5:$E$152,MATCH(80,'BASE DE DATOS'!$Z$5:$Z$152,0)),"")</f>
        <v/>
      </c>
      <c r="G84" s="27" t="str">
        <f>IFERROR(INDEX('BASE DE DATOS'!$F$5:$F$152,MATCH(80,'BASE DE DATOS'!$Z$5:$Z$152,0)),"")</f>
        <v/>
      </c>
      <c r="H84" s="29" t="str">
        <f>IFERROR(INDEX('BASE DE DATOS'!$G$5:$G$152,MATCH(80,'BASE DE DATOS'!$Z$5:$Z$152,0)),"")</f>
        <v/>
      </c>
      <c r="I84" s="14" t="str">
        <f>IFERROR(INDEX('BASE DE DATOS'!$P$5:$P$152,MATCH(80,'BASE DE DATOS'!$Z$5:$Z$152,0)),"")</f>
        <v/>
      </c>
      <c r="J84" s="26" t="str">
        <f>IFERROR(INDEX('BASE DE DATOS'!$Q$5:$Q$152,MATCH(80,'BASE DE DATOS'!$Z$5:$Z$152,0)),"")</f>
        <v/>
      </c>
      <c r="K84" s="28" t="str">
        <f>IFERROR(INDEX('BASE DE DATOS'!$R$5:$R$152,MATCH(80,'BASE DE DATOS'!$Z$5:$Z$152,0)),"")</f>
        <v/>
      </c>
      <c r="L84" s="28" t="str">
        <f>IFERROR(INDEX('BASE DE DATOS'!$S$5:$S$152,MATCH(80,'BASE DE DATOS'!$Z$5:$Z$152,0)),"")</f>
        <v/>
      </c>
      <c r="M84" s="28" t="str">
        <f>IFERROR(INDEX('BASE DE DATOS'!$T$5:$T$152,MATCH(80,'BASE DE DATOS'!$Z$5:$Z$152,0)),"")</f>
        <v/>
      </c>
      <c r="N84" s="27" t="str">
        <f>IFERROR(INDEX('BASE DE DATOS'!$W$5:$W$152,MATCH(80,'BASE DE DATOS'!$Z$5:$Z$152,0)),"")</f>
        <v/>
      </c>
      <c r="O84" s="28" t="str">
        <f>IFERROR(INDEX('BASE DE DATOS'!$U$5:$U$152,MATCH(80,'BASE DE DATOS'!$Z$5:$Z$152,0)),"")</f>
        <v/>
      </c>
    </row>
    <row r="85" spans="1:15" x14ac:dyDescent="0.3">
      <c r="A85" s="9">
        <v>81</v>
      </c>
      <c r="B85" s="28" t="str">
        <f>IFERROR(INDEX('BASE DE DATOS'!$A$5:$A$152,MATCH(81,'BASE DE DATOS'!$Z$5:$Z$152,0)),"")</f>
        <v/>
      </c>
      <c r="C85" s="27" t="str">
        <f>IFERROR(INDEX('BASE DE DATOS'!$B$5:$B$152,MATCH(81,'BASE DE DATOS'!$Z$5:$Z$152,0)),"")</f>
        <v/>
      </c>
      <c r="D85" s="28" t="str">
        <f>IFERROR(INDEX('BASE DE DATOS'!$C$5:$C$152,MATCH(81,'BASE DE DATOS'!$Z$5:$Z$152,0)),"")</f>
        <v/>
      </c>
      <c r="E85" s="28" t="str">
        <f>IFERROR(INDEX('BASE DE DATOS'!$D$5:$D$152,MATCH(81,'BASE DE DATOS'!$Z$5:$Z$152,0)),"")</f>
        <v/>
      </c>
      <c r="F85" s="28" t="str">
        <f>IFERROR(INDEX('BASE DE DATOS'!$E$5:$E$152,MATCH(81,'BASE DE DATOS'!$Z$5:$Z$152,0)),"")</f>
        <v/>
      </c>
      <c r="G85" s="27" t="str">
        <f>IFERROR(INDEX('BASE DE DATOS'!$F$5:$F$152,MATCH(81,'BASE DE DATOS'!$Z$5:$Z$152,0)),"")</f>
        <v/>
      </c>
      <c r="H85" s="29" t="str">
        <f>IFERROR(INDEX('BASE DE DATOS'!$G$5:$G$152,MATCH(81,'BASE DE DATOS'!$Z$5:$Z$152,0)),"")</f>
        <v/>
      </c>
      <c r="I85" s="14" t="str">
        <f>IFERROR(INDEX('BASE DE DATOS'!$P$5:$P$152,MATCH(81,'BASE DE DATOS'!$Z$5:$Z$152,0)),"")</f>
        <v/>
      </c>
      <c r="J85" s="26" t="str">
        <f>IFERROR(INDEX('BASE DE DATOS'!$Q$5:$Q$152,MATCH(81,'BASE DE DATOS'!$Z$5:$Z$152,0)),"")</f>
        <v/>
      </c>
      <c r="K85" s="28" t="str">
        <f>IFERROR(INDEX('BASE DE DATOS'!$R$5:$R$152,MATCH(81,'BASE DE DATOS'!$Z$5:$Z$152,0)),"")</f>
        <v/>
      </c>
      <c r="L85" s="28" t="str">
        <f>IFERROR(INDEX('BASE DE DATOS'!$S$5:$S$152,MATCH(81,'BASE DE DATOS'!$Z$5:$Z$152,0)),"")</f>
        <v/>
      </c>
      <c r="M85" s="28" t="str">
        <f>IFERROR(INDEX('BASE DE DATOS'!$T$5:$T$152,MATCH(81,'BASE DE DATOS'!$Z$5:$Z$152,0)),"")</f>
        <v/>
      </c>
      <c r="N85" s="27" t="str">
        <f>IFERROR(INDEX('BASE DE DATOS'!$W$5:$W$152,MATCH(81,'BASE DE DATOS'!$Z$5:$Z$152,0)),"")</f>
        <v/>
      </c>
      <c r="O85" s="28" t="str">
        <f>IFERROR(INDEX('BASE DE DATOS'!$U$5:$U$152,MATCH(81,'BASE DE DATOS'!$Z$5:$Z$152,0)),"")</f>
        <v/>
      </c>
    </row>
    <row r="86" spans="1:15" x14ac:dyDescent="0.3">
      <c r="A86" s="9">
        <v>82</v>
      </c>
      <c r="B86" s="28" t="str">
        <f>IFERROR(INDEX('BASE DE DATOS'!$A$5:$A$152,MATCH(82,'BASE DE DATOS'!$Z$5:$Z$152,0)),"")</f>
        <v/>
      </c>
      <c r="C86" s="27" t="str">
        <f>IFERROR(INDEX('BASE DE DATOS'!$B$5:$B$152,MATCH(82,'BASE DE DATOS'!$Z$5:$Z$152,0)),"")</f>
        <v/>
      </c>
      <c r="D86" s="28" t="str">
        <f>IFERROR(INDEX('BASE DE DATOS'!$C$5:$C$152,MATCH(82,'BASE DE DATOS'!$Z$5:$Z$152,0)),"")</f>
        <v/>
      </c>
      <c r="E86" s="28" t="str">
        <f>IFERROR(INDEX('BASE DE DATOS'!$D$5:$D$152,MATCH(82,'BASE DE DATOS'!$Z$5:$Z$152,0)),"")</f>
        <v/>
      </c>
      <c r="F86" s="28" t="str">
        <f>IFERROR(INDEX('BASE DE DATOS'!$E$5:$E$152,MATCH(82,'BASE DE DATOS'!$Z$5:$Z$152,0)),"")</f>
        <v/>
      </c>
      <c r="G86" s="27" t="str">
        <f>IFERROR(INDEX('BASE DE DATOS'!$F$5:$F$152,MATCH(82,'BASE DE DATOS'!$Z$5:$Z$152,0)),"")</f>
        <v/>
      </c>
      <c r="H86" s="29" t="str">
        <f>IFERROR(INDEX('BASE DE DATOS'!$G$5:$G$152,MATCH(82,'BASE DE DATOS'!$Z$5:$Z$152,0)),"")</f>
        <v/>
      </c>
      <c r="I86" s="14" t="str">
        <f>IFERROR(INDEX('BASE DE DATOS'!$P$5:$P$152,MATCH(82,'BASE DE DATOS'!$Z$5:$Z$152,0)),"")</f>
        <v/>
      </c>
      <c r="J86" s="26" t="str">
        <f>IFERROR(INDEX('BASE DE DATOS'!$Q$5:$Q$152,MATCH(82,'BASE DE DATOS'!$Z$5:$Z$152,0)),"")</f>
        <v/>
      </c>
      <c r="K86" s="28" t="str">
        <f>IFERROR(INDEX('BASE DE DATOS'!$R$5:$R$152,MATCH(82,'BASE DE DATOS'!$Z$5:$Z$152,0)),"")</f>
        <v/>
      </c>
      <c r="L86" s="28" t="str">
        <f>IFERROR(INDEX('BASE DE DATOS'!$S$5:$S$152,MATCH(82,'BASE DE DATOS'!$Z$5:$Z$152,0)),"")</f>
        <v/>
      </c>
      <c r="M86" s="28" t="str">
        <f>IFERROR(INDEX('BASE DE DATOS'!$T$5:$T$152,MATCH(82,'BASE DE DATOS'!$Z$5:$Z$152,0)),"")</f>
        <v/>
      </c>
      <c r="N86" s="27" t="str">
        <f>IFERROR(INDEX('BASE DE DATOS'!$W$5:$W$152,MATCH(82,'BASE DE DATOS'!$Z$5:$Z$152,0)),"")</f>
        <v/>
      </c>
      <c r="O86" s="28" t="str">
        <f>IFERROR(INDEX('BASE DE DATOS'!$U$5:$U$152,MATCH(82,'BASE DE DATOS'!$Z$5:$Z$152,0)),"")</f>
        <v/>
      </c>
    </row>
    <row r="87" spans="1:15" x14ac:dyDescent="0.3">
      <c r="A87" s="9">
        <v>83</v>
      </c>
      <c r="B87" s="28" t="str">
        <f>IFERROR(INDEX('BASE DE DATOS'!$A$5:$A$152,MATCH(83,'BASE DE DATOS'!$Z$5:$Z$152,0)),"")</f>
        <v/>
      </c>
      <c r="C87" s="27" t="str">
        <f>IFERROR(INDEX('BASE DE DATOS'!$B$5:$B$152,MATCH(83,'BASE DE DATOS'!$Z$5:$Z$152,0)),"")</f>
        <v/>
      </c>
      <c r="D87" s="28" t="str">
        <f>IFERROR(INDEX('BASE DE DATOS'!$C$5:$C$152,MATCH(83,'BASE DE DATOS'!$Z$5:$Z$152,0)),"")</f>
        <v/>
      </c>
      <c r="E87" s="28" t="str">
        <f>IFERROR(INDEX('BASE DE DATOS'!$D$5:$D$152,MATCH(83,'BASE DE DATOS'!$Z$5:$Z$152,0)),"")</f>
        <v/>
      </c>
      <c r="F87" s="28" t="str">
        <f>IFERROR(INDEX('BASE DE DATOS'!$E$5:$E$152,MATCH(83,'BASE DE DATOS'!$Z$5:$Z$152,0)),"")</f>
        <v/>
      </c>
      <c r="G87" s="27" t="str">
        <f>IFERROR(INDEX('BASE DE DATOS'!$F$5:$F$152,MATCH(83,'BASE DE DATOS'!$Z$5:$Z$152,0)),"")</f>
        <v/>
      </c>
      <c r="H87" s="29" t="str">
        <f>IFERROR(INDEX('BASE DE DATOS'!$G$5:$G$152,MATCH(83,'BASE DE DATOS'!$Z$5:$Z$152,0)),"")</f>
        <v/>
      </c>
      <c r="I87" s="14" t="str">
        <f>IFERROR(INDEX('BASE DE DATOS'!$P$5:$P$152,MATCH(83,'BASE DE DATOS'!$Z$5:$Z$152,0)),"")</f>
        <v/>
      </c>
      <c r="J87" s="26" t="str">
        <f>IFERROR(INDEX('BASE DE DATOS'!$Q$5:$Q$152,MATCH(83,'BASE DE DATOS'!$Z$5:$Z$152,0)),"")</f>
        <v/>
      </c>
      <c r="K87" s="28" t="str">
        <f>IFERROR(INDEX('BASE DE DATOS'!$R$5:$R$152,MATCH(83,'BASE DE DATOS'!$Z$5:$Z$152,0)),"")</f>
        <v/>
      </c>
      <c r="L87" s="28" t="str">
        <f>IFERROR(INDEX('BASE DE DATOS'!$S$5:$S$152,MATCH(83,'BASE DE DATOS'!$Z$5:$Z$152,0)),"")</f>
        <v/>
      </c>
      <c r="M87" s="28" t="str">
        <f>IFERROR(INDEX('BASE DE DATOS'!$T$5:$T$152,MATCH(83,'BASE DE DATOS'!$Z$5:$Z$152,0)),"")</f>
        <v/>
      </c>
      <c r="N87" s="27" t="str">
        <f>IFERROR(INDEX('BASE DE DATOS'!$W$5:$W$152,MATCH(83,'BASE DE DATOS'!$Z$5:$Z$152,0)),"")</f>
        <v/>
      </c>
      <c r="O87" s="28" t="str">
        <f>IFERROR(INDEX('BASE DE DATOS'!$U$5:$U$152,MATCH(83,'BASE DE DATOS'!$Z$5:$Z$152,0)),"")</f>
        <v/>
      </c>
    </row>
    <row r="88" spans="1:15" x14ac:dyDescent="0.3">
      <c r="A88" s="9">
        <v>84</v>
      </c>
      <c r="B88" s="28" t="str">
        <f>IFERROR(INDEX('BASE DE DATOS'!$A$5:$A$152,MATCH(84,'BASE DE DATOS'!$Z$5:$Z$152,0)),"")</f>
        <v/>
      </c>
      <c r="C88" s="27" t="str">
        <f>IFERROR(INDEX('BASE DE DATOS'!$B$5:$B$152,MATCH(84,'BASE DE DATOS'!$Z$5:$Z$152,0)),"")</f>
        <v/>
      </c>
      <c r="D88" s="28" t="str">
        <f>IFERROR(INDEX('BASE DE DATOS'!$C$5:$C$152,MATCH(84,'BASE DE DATOS'!$Z$5:$Z$152,0)),"")</f>
        <v/>
      </c>
      <c r="E88" s="28" t="str">
        <f>IFERROR(INDEX('BASE DE DATOS'!$D$5:$D$152,MATCH(84,'BASE DE DATOS'!$Z$5:$Z$152,0)),"")</f>
        <v/>
      </c>
      <c r="F88" s="28" t="str">
        <f>IFERROR(INDEX('BASE DE DATOS'!$E$5:$E$152,MATCH(84,'BASE DE DATOS'!$Z$5:$Z$152,0)),"")</f>
        <v/>
      </c>
      <c r="G88" s="27" t="str">
        <f>IFERROR(INDEX('BASE DE DATOS'!$F$5:$F$152,MATCH(84,'BASE DE DATOS'!$Z$5:$Z$152,0)),"")</f>
        <v/>
      </c>
      <c r="H88" s="29" t="str">
        <f>IFERROR(INDEX('BASE DE DATOS'!$G$5:$G$152,MATCH(84,'BASE DE DATOS'!$Z$5:$Z$152,0)),"")</f>
        <v/>
      </c>
      <c r="I88" s="14" t="str">
        <f>IFERROR(INDEX('BASE DE DATOS'!$P$5:$P$152,MATCH(84,'BASE DE DATOS'!$Z$5:$Z$152,0)),"")</f>
        <v/>
      </c>
      <c r="J88" s="26" t="str">
        <f>IFERROR(INDEX('BASE DE DATOS'!$Q$5:$Q$152,MATCH(84,'BASE DE DATOS'!$Z$5:$Z$152,0)),"")</f>
        <v/>
      </c>
      <c r="K88" s="28" t="str">
        <f>IFERROR(INDEX('BASE DE DATOS'!$R$5:$R$152,MATCH(84,'BASE DE DATOS'!$Z$5:$Z$152,0)),"")</f>
        <v/>
      </c>
      <c r="L88" s="28" t="str">
        <f>IFERROR(INDEX('BASE DE DATOS'!$S$5:$S$152,MATCH(84,'BASE DE DATOS'!$Z$5:$Z$152,0)),"")</f>
        <v/>
      </c>
      <c r="M88" s="28" t="str">
        <f>IFERROR(INDEX('BASE DE DATOS'!$T$5:$T$152,MATCH(84,'BASE DE DATOS'!$Z$5:$Z$152,0)),"")</f>
        <v/>
      </c>
      <c r="N88" s="27" t="str">
        <f>IFERROR(INDEX('BASE DE DATOS'!$W$5:$W$152,MATCH(84,'BASE DE DATOS'!$Z$5:$Z$152,0)),"")</f>
        <v/>
      </c>
      <c r="O88" s="28" t="str">
        <f>IFERROR(INDEX('BASE DE DATOS'!$U$5:$U$152,MATCH(84,'BASE DE DATOS'!$Z$5:$Z$152,0)),"")</f>
        <v/>
      </c>
    </row>
    <row r="89" spans="1:15" x14ac:dyDescent="0.3">
      <c r="A89" s="9">
        <v>85</v>
      </c>
      <c r="B89" s="28" t="str">
        <f>IFERROR(INDEX('BASE DE DATOS'!$A$5:$A$152,MATCH(85,'BASE DE DATOS'!$Z$5:$Z$152,0)),"")</f>
        <v/>
      </c>
      <c r="C89" s="27" t="str">
        <f>IFERROR(INDEX('BASE DE DATOS'!$B$5:$B$152,MATCH(85,'BASE DE DATOS'!$Z$5:$Z$152,0)),"")</f>
        <v/>
      </c>
      <c r="D89" s="28" t="str">
        <f>IFERROR(INDEX('BASE DE DATOS'!$C$5:$C$152,MATCH(85,'BASE DE DATOS'!$Z$5:$Z$152,0)),"")</f>
        <v/>
      </c>
      <c r="E89" s="28" t="str">
        <f>IFERROR(INDEX('BASE DE DATOS'!$D$5:$D$152,MATCH(85,'BASE DE DATOS'!$Z$5:$Z$152,0)),"")</f>
        <v/>
      </c>
      <c r="F89" s="28" t="str">
        <f>IFERROR(INDEX('BASE DE DATOS'!$E$5:$E$152,MATCH(85,'BASE DE DATOS'!$Z$5:$Z$152,0)),"")</f>
        <v/>
      </c>
      <c r="G89" s="27" t="str">
        <f>IFERROR(INDEX('BASE DE DATOS'!$F$5:$F$152,MATCH(85,'BASE DE DATOS'!$Z$5:$Z$152,0)),"")</f>
        <v/>
      </c>
      <c r="H89" s="29" t="str">
        <f>IFERROR(INDEX('BASE DE DATOS'!$G$5:$G$152,MATCH(85,'BASE DE DATOS'!$Z$5:$Z$152,0)),"")</f>
        <v/>
      </c>
      <c r="I89" s="14" t="str">
        <f>IFERROR(INDEX('BASE DE DATOS'!$P$5:$P$152,MATCH(85,'BASE DE DATOS'!$Z$5:$Z$152,0)),"")</f>
        <v/>
      </c>
      <c r="J89" s="26" t="str">
        <f>IFERROR(INDEX('BASE DE DATOS'!$Q$5:$Q$152,MATCH(85,'BASE DE DATOS'!$Z$5:$Z$152,0)),"")</f>
        <v/>
      </c>
      <c r="K89" s="28" t="str">
        <f>IFERROR(INDEX('BASE DE DATOS'!$R$5:$R$152,MATCH(85,'BASE DE DATOS'!$Z$5:$Z$152,0)),"")</f>
        <v/>
      </c>
      <c r="L89" s="28" t="str">
        <f>IFERROR(INDEX('BASE DE DATOS'!$S$5:$S$152,MATCH(85,'BASE DE DATOS'!$Z$5:$Z$152,0)),"")</f>
        <v/>
      </c>
      <c r="M89" s="28" t="str">
        <f>IFERROR(INDEX('BASE DE DATOS'!$T$5:$T$152,MATCH(85,'BASE DE DATOS'!$Z$5:$Z$152,0)),"")</f>
        <v/>
      </c>
      <c r="N89" s="27" t="str">
        <f>IFERROR(INDEX('BASE DE DATOS'!$W$5:$W$152,MATCH(85,'BASE DE DATOS'!$Z$5:$Z$152,0)),"")</f>
        <v/>
      </c>
      <c r="O89" s="28" t="str">
        <f>IFERROR(INDEX('BASE DE DATOS'!$U$5:$U$152,MATCH(85,'BASE DE DATOS'!$Z$5:$Z$152,0)),"")</f>
        <v/>
      </c>
    </row>
    <row r="90" spans="1:15" x14ac:dyDescent="0.3">
      <c r="A90" s="9">
        <v>86</v>
      </c>
      <c r="B90" s="28" t="str">
        <f>IFERROR(INDEX('BASE DE DATOS'!$A$5:$A$152,MATCH(86,'BASE DE DATOS'!$Z$5:$Z$152,0)),"")</f>
        <v/>
      </c>
      <c r="C90" s="27" t="str">
        <f>IFERROR(INDEX('BASE DE DATOS'!$B$5:$B$152,MATCH(86,'BASE DE DATOS'!$Z$5:$Z$152,0)),"")</f>
        <v/>
      </c>
      <c r="D90" s="28" t="str">
        <f>IFERROR(INDEX('BASE DE DATOS'!$C$5:$C$152,MATCH(86,'BASE DE DATOS'!$Z$5:$Z$152,0)),"")</f>
        <v/>
      </c>
      <c r="E90" s="28" t="str">
        <f>IFERROR(INDEX('BASE DE DATOS'!$D$5:$D$152,MATCH(86,'BASE DE DATOS'!$Z$5:$Z$152,0)),"")</f>
        <v/>
      </c>
      <c r="F90" s="28" t="str">
        <f>IFERROR(INDEX('BASE DE DATOS'!$E$5:$E$152,MATCH(86,'BASE DE DATOS'!$Z$5:$Z$152,0)),"")</f>
        <v/>
      </c>
      <c r="G90" s="27" t="str">
        <f>IFERROR(INDEX('BASE DE DATOS'!$F$5:$F$152,MATCH(86,'BASE DE DATOS'!$Z$5:$Z$152,0)),"")</f>
        <v/>
      </c>
      <c r="H90" s="29" t="str">
        <f>IFERROR(INDEX('BASE DE DATOS'!$G$5:$G$152,MATCH(86,'BASE DE DATOS'!$Z$5:$Z$152,0)),"")</f>
        <v/>
      </c>
      <c r="I90" s="14" t="str">
        <f>IFERROR(INDEX('BASE DE DATOS'!$P$5:$P$152,MATCH(86,'BASE DE DATOS'!$Z$5:$Z$152,0)),"")</f>
        <v/>
      </c>
      <c r="J90" s="26" t="str">
        <f>IFERROR(INDEX('BASE DE DATOS'!$Q$5:$Q$152,MATCH(86,'BASE DE DATOS'!$Z$5:$Z$152,0)),"")</f>
        <v/>
      </c>
      <c r="K90" s="28" t="str">
        <f>IFERROR(INDEX('BASE DE DATOS'!$R$5:$R$152,MATCH(86,'BASE DE DATOS'!$Z$5:$Z$152,0)),"")</f>
        <v/>
      </c>
      <c r="L90" s="28" t="str">
        <f>IFERROR(INDEX('BASE DE DATOS'!$S$5:$S$152,MATCH(86,'BASE DE DATOS'!$Z$5:$Z$152,0)),"")</f>
        <v/>
      </c>
      <c r="M90" s="28" t="str">
        <f>IFERROR(INDEX('BASE DE DATOS'!$T$5:$T$152,MATCH(86,'BASE DE DATOS'!$Z$5:$Z$152,0)),"")</f>
        <v/>
      </c>
      <c r="N90" s="27" t="str">
        <f>IFERROR(INDEX('BASE DE DATOS'!$W$5:$W$152,MATCH(86,'BASE DE DATOS'!$Z$5:$Z$152,0)),"")</f>
        <v/>
      </c>
      <c r="O90" s="28" t="str">
        <f>IFERROR(INDEX('BASE DE DATOS'!$U$5:$U$152,MATCH(86,'BASE DE DATOS'!$Z$5:$Z$152,0)),"")</f>
        <v/>
      </c>
    </row>
    <row r="91" spans="1:15" x14ac:dyDescent="0.3">
      <c r="A91" s="9">
        <v>87</v>
      </c>
      <c r="B91" s="28" t="str">
        <f>IFERROR(INDEX('BASE DE DATOS'!$A$5:$A$152,MATCH(87,'BASE DE DATOS'!$Z$5:$Z$152,0)),"")</f>
        <v/>
      </c>
      <c r="C91" s="27" t="str">
        <f>IFERROR(INDEX('BASE DE DATOS'!$B$5:$B$152,MATCH(87,'BASE DE DATOS'!$Z$5:$Z$152,0)),"")</f>
        <v/>
      </c>
      <c r="D91" s="28" t="str">
        <f>IFERROR(INDEX('BASE DE DATOS'!$C$5:$C$152,MATCH(87,'BASE DE DATOS'!$Z$5:$Z$152,0)),"")</f>
        <v/>
      </c>
      <c r="E91" s="28" t="str">
        <f>IFERROR(INDEX('BASE DE DATOS'!$D$5:$D$152,MATCH(87,'BASE DE DATOS'!$Z$5:$Z$152,0)),"")</f>
        <v/>
      </c>
      <c r="F91" s="28" t="str">
        <f>IFERROR(INDEX('BASE DE DATOS'!$E$5:$E$152,MATCH(87,'BASE DE DATOS'!$Z$5:$Z$152,0)),"")</f>
        <v/>
      </c>
      <c r="G91" s="27" t="str">
        <f>IFERROR(INDEX('BASE DE DATOS'!$F$5:$F$152,MATCH(87,'BASE DE DATOS'!$Z$5:$Z$152,0)),"")</f>
        <v/>
      </c>
      <c r="H91" s="29" t="str">
        <f>IFERROR(INDEX('BASE DE DATOS'!$G$5:$G$152,MATCH(87,'BASE DE DATOS'!$Z$5:$Z$152,0)),"")</f>
        <v/>
      </c>
      <c r="I91" s="14" t="str">
        <f>IFERROR(INDEX('BASE DE DATOS'!$P$5:$P$152,MATCH(87,'BASE DE DATOS'!$Z$5:$Z$152,0)),"")</f>
        <v/>
      </c>
      <c r="J91" s="26" t="str">
        <f>IFERROR(INDEX('BASE DE DATOS'!$Q$5:$Q$152,MATCH(87,'BASE DE DATOS'!$Z$5:$Z$152,0)),"")</f>
        <v/>
      </c>
      <c r="K91" s="28" t="str">
        <f>IFERROR(INDEX('BASE DE DATOS'!$R$5:$R$152,MATCH(87,'BASE DE DATOS'!$Z$5:$Z$152,0)),"")</f>
        <v/>
      </c>
      <c r="L91" s="28" t="str">
        <f>IFERROR(INDEX('BASE DE DATOS'!$S$5:$S$152,MATCH(87,'BASE DE DATOS'!$Z$5:$Z$152,0)),"")</f>
        <v/>
      </c>
      <c r="M91" s="28" t="str">
        <f>IFERROR(INDEX('BASE DE DATOS'!$T$5:$T$152,MATCH(87,'BASE DE DATOS'!$Z$5:$Z$152,0)),"")</f>
        <v/>
      </c>
      <c r="N91" s="27" t="str">
        <f>IFERROR(INDEX('BASE DE DATOS'!$W$5:$W$152,MATCH(87,'BASE DE DATOS'!$Z$5:$Z$152,0)),"")</f>
        <v/>
      </c>
      <c r="O91" s="28" t="str">
        <f>IFERROR(INDEX('BASE DE DATOS'!$U$5:$U$152,MATCH(87,'BASE DE DATOS'!$Z$5:$Z$152,0)),"")</f>
        <v/>
      </c>
    </row>
    <row r="92" spans="1:15" x14ac:dyDescent="0.3">
      <c r="A92" s="9">
        <v>88</v>
      </c>
      <c r="B92" s="28" t="str">
        <f>IFERROR(INDEX('BASE DE DATOS'!$A$5:$A$152,MATCH(88,'BASE DE DATOS'!$Z$5:$Z$152,0)),"")</f>
        <v/>
      </c>
      <c r="C92" s="27" t="str">
        <f>IFERROR(INDEX('BASE DE DATOS'!$B$5:$B$152,MATCH(88,'BASE DE DATOS'!$Z$5:$Z$152,0)),"")</f>
        <v/>
      </c>
      <c r="D92" s="28" t="str">
        <f>IFERROR(INDEX('BASE DE DATOS'!$C$5:$C$152,MATCH(88,'BASE DE DATOS'!$Z$5:$Z$152,0)),"")</f>
        <v/>
      </c>
      <c r="E92" s="28" t="str">
        <f>IFERROR(INDEX('BASE DE DATOS'!$D$5:$D$152,MATCH(88,'BASE DE DATOS'!$Z$5:$Z$152,0)),"")</f>
        <v/>
      </c>
      <c r="F92" s="28" t="str">
        <f>IFERROR(INDEX('BASE DE DATOS'!$E$5:$E$152,MATCH(88,'BASE DE DATOS'!$Z$5:$Z$152,0)),"")</f>
        <v/>
      </c>
      <c r="G92" s="27" t="str">
        <f>IFERROR(INDEX('BASE DE DATOS'!$F$5:$F$152,MATCH(88,'BASE DE DATOS'!$Z$5:$Z$152,0)),"")</f>
        <v/>
      </c>
      <c r="H92" s="29" t="str">
        <f>IFERROR(INDEX('BASE DE DATOS'!$G$5:$G$152,MATCH(88,'BASE DE DATOS'!$Z$5:$Z$152,0)),"")</f>
        <v/>
      </c>
      <c r="I92" s="14" t="str">
        <f>IFERROR(INDEX('BASE DE DATOS'!$P$5:$P$152,MATCH(88,'BASE DE DATOS'!$Z$5:$Z$152,0)),"")</f>
        <v/>
      </c>
      <c r="J92" s="26" t="str">
        <f>IFERROR(INDEX('BASE DE DATOS'!$Q$5:$Q$152,MATCH(88,'BASE DE DATOS'!$Z$5:$Z$152,0)),"")</f>
        <v/>
      </c>
      <c r="K92" s="28" t="str">
        <f>IFERROR(INDEX('BASE DE DATOS'!$R$5:$R$152,MATCH(88,'BASE DE DATOS'!$Z$5:$Z$152,0)),"")</f>
        <v/>
      </c>
      <c r="L92" s="28" t="str">
        <f>IFERROR(INDEX('BASE DE DATOS'!$S$5:$S$152,MATCH(88,'BASE DE DATOS'!$Z$5:$Z$152,0)),"")</f>
        <v/>
      </c>
      <c r="M92" s="28" t="str">
        <f>IFERROR(INDEX('BASE DE DATOS'!$T$5:$T$152,MATCH(88,'BASE DE DATOS'!$Z$5:$Z$152,0)),"")</f>
        <v/>
      </c>
      <c r="N92" s="27" t="str">
        <f>IFERROR(INDEX('BASE DE DATOS'!$W$5:$W$152,MATCH(88,'BASE DE DATOS'!$Z$5:$Z$152,0)),"")</f>
        <v/>
      </c>
      <c r="O92" s="28" t="str">
        <f>IFERROR(INDEX('BASE DE DATOS'!$U$5:$U$152,MATCH(88,'BASE DE DATOS'!$Z$5:$Z$152,0)),"")</f>
        <v/>
      </c>
    </row>
    <row r="93" spans="1:15" x14ac:dyDescent="0.3">
      <c r="A93" s="9">
        <v>89</v>
      </c>
      <c r="B93" s="28" t="str">
        <f>IFERROR(INDEX('BASE DE DATOS'!$A$5:$A$152,MATCH(89,'BASE DE DATOS'!$Z$5:$Z$152,0)),"")</f>
        <v/>
      </c>
      <c r="C93" s="27" t="str">
        <f>IFERROR(INDEX('BASE DE DATOS'!$B$5:$B$152,MATCH(89,'BASE DE DATOS'!$Z$5:$Z$152,0)),"")</f>
        <v/>
      </c>
      <c r="D93" s="28" t="str">
        <f>IFERROR(INDEX('BASE DE DATOS'!$C$5:$C$152,MATCH(89,'BASE DE DATOS'!$Z$5:$Z$152,0)),"")</f>
        <v/>
      </c>
      <c r="E93" s="28" t="str">
        <f>IFERROR(INDEX('BASE DE DATOS'!$D$5:$D$152,MATCH(89,'BASE DE DATOS'!$Z$5:$Z$152,0)),"")</f>
        <v/>
      </c>
      <c r="F93" s="28" t="str">
        <f>IFERROR(INDEX('BASE DE DATOS'!$E$5:$E$152,MATCH(89,'BASE DE DATOS'!$Z$5:$Z$152,0)),"")</f>
        <v/>
      </c>
      <c r="G93" s="27" t="str">
        <f>IFERROR(INDEX('BASE DE DATOS'!$F$5:$F$152,MATCH(89,'BASE DE DATOS'!$Z$5:$Z$152,0)),"")</f>
        <v/>
      </c>
      <c r="H93" s="29" t="str">
        <f>IFERROR(INDEX('BASE DE DATOS'!$G$5:$G$152,MATCH(89,'BASE DE DATOS'!$Z$5:$Z$152,0)),"")</f>
        <v/>
      </c>
      <c r="I93" s="14" t="str">
        <f>IFERROR(INDEX('BASE DE DATOS'!$P$5:$P$152,MATCH(89,'BASE DE DATOS'!$Z$5:$Z$152,0)),"")</f>
        <v/>
      </c>
      <c r="J93" s="26" t="str">
        <f>IFERROR(INDEX('BASE DE DATOS'!$Q$5:$Q$152,MATCH(89,'BASE DE DATOS'!$Z$5:$Z$152,0)),"")</f>
        <v/>
      </c>
      <c r="K93" s="28" t="str">
        <f>IFERROR(INDEX('BASE DE DATOS'!$R$5:$R$152,MATCH(89,'BASE DE DATOS'!$Z$5:$Z$152,0)),"")</f>
        <v/>
      </c>
      <c r="L93" s="28" t="str">
        <f>IFERROR(INDEX('BASE DE DATOS'!$S$5:$S$152,MATCH(89,'BASE DE DATOS'!$Z$5:$Z$152,0)),"")</f>
        <v/>
      </c>
      <c r="M93" s="28" t="str">
        <f>IFERROR(INDEX('BASE DE DATOS'!$T$5:$T$152,MATCH(89,'BASE DE DATOS'!$Z$5:$Z$152,0)),"")</f>
        <v/>
      </c>
      <c r="N93" s="27" t="str">
        <f>IFERROR(INDEX('BASE DE DATOS'!$W$5:$W$152,MATCH(89,'BASE DE DATOS'!$Z$5:$Z$152,0)),"")</f>
        <v/>
      </c>
      <c r="O93" s="28" t="str">
        <f>IFERROR(INDEX('BASE DE DATOS'!$U$5:$U$152,MATCH(89,'BASE DE DATOS'!$Z$5:$Z$152,0)),"")</f>
        <v/>
      </c>
    </row>
    <row r="94" spans="1:15" x14ac:dyDescent="0.3">
      <c r="A94" s="9">
        <v>90</v>
      </c>
      <c r="B94" s="28" t="str">
        <f>IFERROR(INDEX('BASE DE DATOS'!$A$5:$A$152,MATCH(90,'BASE DE DATOS'!$Z$5:$Z$152,0)),"")</f>
        <v/>
      </c>
      <c r="C94" s="27" t="str">
        <f>IFERROR(INDEX('BASE DE DATOS'!$B$5:$B$152,MATCH(90,'BASE DE DATOS'!$Z$5:$Z$152,0)),"")</f>
        <v/>
      </c>
      <c r="D94" s="28" t="str">
        <f>IFERROR(INDEX('BASE DE DATOS'!$C$5:$C$152,MATCH(90,'BASE DE DATOS'!$Z$5:$Z$152,0)),"")</f>
        <v/>
      </c>
      <c r="E94" s="28" t="str">
        <f>IFERROR(INDEX('BASE DE DATOS'!$D$5:$D$152,MATCH(90,'BASE DE DATOS'!$Z$5:$Z$152,0)),"")</f>
        <v/>
      </c>
      <c r="F94" s="28" t="str">
        <f>IFERROR(INDEX('BASE DE DATOS'!$E$5:$E$152,MATCH(90,'BASE DE DATOS'!$Z$5:$Z$152,0)),"")</f>
        <v/>
      </c>
      <c r="G94" s="27" t="str">
        <f>IFERROR(INDEX('BASE DE DATOS'!$F$5:$F$152,MATCH(90,'BASE DE DATOS'!$Z$5:$Z$152,0)),"")</f>
        <v/>
      </c>
      <c r="H94" s="29" t="str">
        <f>IFERROR(INDEX('BASE DE DATOS'!$G$5:$G$152,MATCH(90,'BASE DE DATOS'!$Z$5:$Z$152,0)),"")</f>
        <v/>
      </c>
      <c r="I94" s="14" t="str">
        <f>IFERROR(INDEX('BASE DE DATOS'!$P$5:$P$152,MATCH(90,'BASE DE DATOS'!$Z$5:$Z$152,0)),"")</f>
        <v/>
      </c>
      <c r="J94" s="26" t="str">
        <f>IFERROR(INDEX('BASE DE DATOS'!$Q$5:$Q$152,MATCH(90,'BASE DE DATOS'!$Z$5:$Z$152,0)),"")</f>
        <v/>
      </c>
      <c r="K94" s="28" t="str">
        <f>IFERROR(INDEX('BASE DE DATOS'!$R$5:$R$152,MATCH(90,'BASE DE DATOS'!$Z$5:$Z$152,0)),"")</f>
        <v/>
      </c>
      <c r="L94" s="28" t="str">
        <f>IFERROR(INDEX('BASE DE DATOS'!$S$5:$S$152,MATCH(90,'BASE DE DATOS'!$Z$5:$Z$152,0)),"")</f>
        <v/>
      </c>
      <c r="M94" s="28" t="str">
        <f>IFERROR(INDEX('BASE DE DATOS'!$T$5:$T$152,MATCH(90,'BASE DE DATOS'!$Z$5:$Z$152,0)),"")</f>
        <v/>
      </c>
      <c r="N94" s="27" t="str">
        <f>IFERROR(INDEX('BASE DE DATOS'!$W$5:$W$152,MATCH(90,'BASE DE DATOS'!$Z$5:$Z$152,0)),"")</f>
        <v/>
      </c>
      <c r="O94" s="28" t="str">
        <f>IFERROR(INDEX('BASE DE DATOS'!$U$5:$U$152,MATCH(90,'BASE DE DATOS'!$Z$5:$Z$152,0)),"")</f>
        <v/>
      </c>
    </row>
    <row r="95" spans="1:15" x14ac:dyDescent="0.3">
      <c r="A95" s="9">
        <v>91</v>
      </c>
      <c r="B95" s="28" t="str">
        <f>IFERROR(INDEX('BASE DE DATOS'!$A$5:$A$152,MATCH(91,'BASE DE DATOS'!$Z$5:$Z$152,0)),"")</f>
        <v/>
      </c>
      <c r="C95" s="27" t="str">
        <f>IFERROR(INDEX('BASE DE DATOS'!$B$5:$B$152,MATCH(91,'BASE DE DATOS'!$Z$5:$Z$152,0)),"")</f>
        <v/>
      </c>
      <c r="D95" s="28" t="str">
        <f>IFERROR(INDEX('BASE DE DATOS'!$C$5:$C$152,MATCH(91,'BASE DE DATOS'!$Z$5:$Z$152,0)),"")</f>
        <v/>
      </c>
      <c r="E95" s="28" t="str">
        <f>IFERROR(INDEX('BASE DE DATOS'!$D$5:$D$152,MATCH(91,'BASE DE DATOS'!$Z$5:$Z$152,0)),"")</f>
        <v/>
      </c>
      <c r="F95" s="28" t="str">
        <f>IFERROR(INDEX('BASE DE DATOS'!$E$5:$E$152,MATCH(91,'BASE DE DATOS'!$Z$5:$Z$152,0)),"")</f>
        <v/>
      </c>
      <c r="G95" s="27" t="str">
        <f>IFERROR(INDEX('BASE DE DATOS'!$F$5:$F$152,MATCH(91,'BASE DE DATOS'!$Z$5:$Z$152,0)),"")</f>
        <v/>
      </c>
      <c r="H95" s="29" t="str">
        <f>IFERROR(INDEX('BASE DE DATOS'!$G$5:$G$152,MATCH(91,'BASE DE DATOS'!$Z$5:$Z$152,0)),"")</f>
        <v/>
      </c>
      <c r="I95" s="14" t="str">
        <f>IFERROR(INDEX('BASE DE DATOS'!$P$5:$P$152,MATCH(91,'BASE DE DATOS'!$Z$5:$Z$152,0)),"")</f>
        <v/>
      </c>
      <c r="J95" s="26" t="str">
        <f>IFERROR(INDEX('BASE DE DATOS'!$Q$5:$Q$152,MATCH(91,'BASE DE DATOS'!$Z$5:$Z$152,0)),"")</f>
        <v/>
      </c>
      <c r="K95" s="28" t="str">
        <f>IFERROR(INDEX('BASE DE DATOS'!$R$5:$R$152,MATCH(91,'BASE DE DATOS'!$Z$5:$Z$152,0)),"")</f>
        <v/>
      </c>
      <c r="L95" s="28" t="str">
        <f>IFERROR(INDEX('BASE DE DATOS'!$S$5:$S$152,MATCH(91,'BASE DE DATOS'!$Z$5:$Z$152,0)),"")</f>
        <v/>
      </c>
      <c r="M95" s="28" t="str">
        <f>IFERROR(INDEX('BASE DE DATOS'!$T$5:$T$152,MATCH(91,'BASE DE DATOS'!$Z$5:$Z$152,0)),"")</f>
        <v/>
      </c>
      <c r="N95" s="27" t="str">
        <f>IFERROR(INDEX('BASE DE DATOS'!$W$5:$W$152,MATCH(91,'BASE DE DATOS'!$Z$5:$Z$152,0)),"")</f>
        <v/>
      </c>
      <c r="O95" s="28" t="str">
        <f>IFERROR(INDEX('BASE DE DATOS'!$U$5:$U$152,MATCH(91,'BASE DE DATOS'!$Z$5:$Z$152,0)),"")</f>
        <v/>
      </c>
    </row>
    <row r="96" spans="1:15" x14ac:dyDescent="0.3">
      <c r="A96" s="9">
        <v>92</v>
      </c>
      <c r="B96" s="28" t="str">
        <f>IFERROR(INDEX('BASE DE DATOS'!$A$5:$A$152,MATCH(92,'BASE DE DATOS'!$Z$5:$Z$152,0)),"")</f>
        <v/>
      </c>
      <c r="C96" s="27" t="str">
        <f>IFERROR(INDEX('BASE DE DATOS'!$B$5:$B$152,MATCH(92,'BASE DE DATOS'!$Z$5:$Z$152,0)),"")</f>
        <v/>
      </c>
      <c r="D96" s="28" t="str">
        <f>IFERROR(INDEX('BASE DE DATOS'!$C$5:$C$152,MATCH(92,'BASE DE DATOS'!$Z$5:$Z$152,0)),"")</f>
        <v/>
      </c>
      <c r="E96" s="28" t="str">
        <f>IFERROR(INDEX('BASE DE DATOS'!$D$5:$D$152,MATCH(92,'BASE DE DATOS'!$Z$5:$Z$152,0)),"")</f>
        <v/>
      </c>
      <c r="F96" s="28" t="str">
        <f>IFERROR(INDEX('BASE DE DATOS'!$E$5:$E$152,MATCH(92,'BASE DE DATOS'!$Z$5:$Z$152,0)),"")</f>
        <v/>
      </c>
      <c r="G96" s="27" t="str">
        <f>IFERROR(INDEX('BASE DE DATOS'!$F$5:$F$152,MATCH(92,'BASE DE DATOS'!$Z$5:$Z$152,0)),"")</f>
        <v/>
      </c>
      <c r="H96" s="29" t="str">
        <f>IFERROR(INDEX('BASE DE DATOS'!$G$5:$G$152,MATCH(92,'BASE DE DATOS'!$Z$5:$Z$152,0)),"")</f>
        <v/>
      </c>
      <c r="I96" s="14" t="str">
        <f>IFERROR(INDEX('BASE DE DATOS'!$P$5:$P$152,MATCH(92,'BASE DE DATOS'!$Z$5:$Z$152,0)),"")</f>
        <v/>
      </c>
      <c r="J96" s="26" t="str">
        <f>IFERROR(INDEX('BASE DE DATOS'!$Q$5:$Q$152,MATCH(92,'BASE DE DATOS'!$Z$5:$Z$152,0)),"")</f>
        <v/>
      </c>
      <c r="K96" s="28" t="str">
        <f>IFERROR(INDEX('BASE DE DATOS'!$R$5:$R$152,MATCH(92,'BASE DE DATOS'!$Z$5:$Z$152,0)),"")</f>
        <v/>
      </c>
      <c r="L96" s="28" t="str">
        <f>IFERROR(INDEX('BASE DE DATOS'!$S$5:$S$152,MATCH(92,'BASE DE DATOS'!$Z$5:$Z$152,0)),"")</f>
        <v/>
      </c>
      <c r="M96" s="28" t="str">
        <f>IFERROR(INDEX('BASE DE DATOS'!$T$5:$T$152,MATCH(92,'BASE DE DATOS'!$Z$5:$Z$152,0)),"")</f>
        <v/>
      </c>
      <c r="N96" s="27" t="str">
        <f>IFERROR(INDEX('BASE DE DATOS'!$W$5:$W$152,MATCH(92,'BASE DE DATOS'!$Z$5:$Z$152,0)),"")</f>
        <v/>
      </c>
      <c r="O96" s="28" t="str">
        <f>IFERROR(INDEX('BASE DE DATOS'!$U$5:$U$152,MATCH(92,'BASE DE DATOS'!$Z$5:$Z$152,0)),"")</f>
        <v/>
      </c>
    </row>
    <row r="97" spans="1:15" x14ac:dyDescent="0.3">
      <c r="A97" s="9">
        <v>93</v>
      </c>
      <c r="B97" s="28" t="str">
        <f>IFERROR(INDEX('BASE DE DATOS'!$A$5:$A$152,MATCH(93,'BASE DE DATOS'!$Z$5:$Z$152,0)),"")</f>
        <v/>
      </c>
      <c r="C97" s="27" t="str">
        <f>IFERROR(INDEX('BASE DE DATOS'!$B$5:$B$152,MATCH(93,'BASE DE DATOS'!$Z$5:$Z$152,0)),"")</f>
        <v/>
      </c>
      <c r="D97" s="28" t="str">
        <f>IFERROR(INDEX('BASE DE DATOS'!$C$5:$C$152,MATCH(93,'BASE DE DATOS'!$Z$5:$Z$152,0)),"")</f>
        <v/>
      </c>
      <c r="E97" s="28" t="str">
        <f>IFERROR(INDEX('BASE DE DATOS'!$D$5:$D$152,MATCH(93,'BASE DE DATOS'!$Z$5:$Z$152,0)),"")</f>
        <v/>
      </c>
      <c r="F97" s="28" t="str">
        <f>IFERROR(INDEX('BASE DE DATOS'!$E$5:$E$152,MATCH(93,'BASE DE DATOS'!$Z$5:$Z$152,0)),"")</f>
        <v/>
      </c>
      <c r="G97" s="27" t="str">
        <f>IFERROR(INDEX('BASE DE DATOS'!$F$5:$F$152,MATCH(93,'BASE DE DATOS'!$Z$5:$Z$152,0)),"")</f>
        <v/>
      </c>
      <c r="H97" s="29" t="str">
        <f>IFERROR(INDEX('BASE DE DATOS'!$G$5:$G$152,MATCH(93,'BASE DE DATOS'!$Z$5:$Z$152,0)),"")</f>
        <v/>
      </c>
      <c r="I97" s="14" t="str">
        <f>IFERROR(INDEX('BASE DE DATOS'!$P$5:$P$152,MATCH(93,'BASE DE DATOS'!$Z$5:$Z$152,0)),"")</f>
        <v/>
      </c>
      <c r="J97" s="26" t="str">
        <f>IFERROR(INDEX('BASE DE DATOS'!$Q$5:$Q$152,MATCH(93,'BASE DE DATOS'!$Z$5:$Z$152,0)),"")</f>
        <v/>
      </c>
      <c r="K97" s="28" t="str">
        <f>IFERROR(INDEX('BASE DE DATOS'!$R$5:$R$152,MATCH(93,'BASE DE DATOS'!$Z$5:$Z$152,0)),"")</f>
        <v/>
      </c>
      <c r="L97" s="28" t="str">
        <f>IFERROR(INDEX('BASE DE DATOS'!$S$5:$S$152,MATCH(93,'BASE DE DATOS'!$Z$5:$Z$152,0)),"")</f>
        <v/>
      </c>
      <c r="M97" s="28" t="str">
        <f>IFERROR(INDEX('BASE DE DATOS'!$T$5:$T$152,MATCH(93,'BASE DE DATOS'!$Z$5:$Z$152,0)),"")</f>
        <v/>
      </c>
      <c r="N97" s="27" t="str">
        <f>IFERROR(INDEX('BASE DE DATOS'!$W$5:$W$152,MATCH(93,'BASE DE DATOS'!$Z$5:$Z$152,0)),"")</f>
        <v/>
      </c>
      <c r="O97" s="28" t="str">
        <f>IFERROR(INDEX('BASE DE DATOS'!$U$5:$U$152,MATCH(93,'BASE DE DATOS'!$Z$5:$Z$152,0)),"")</f>
        <v/>
      </c>
    </row>
    <row r="98" spans="1:15" x14ac:dyDescent="0.3">
      <c r="A98" s="9">
        <v>94</v>
      </c>
      <c r="B98" s="28" t="str">
        <f>IFERROR(INDEX('BASE DE DATOS'!$A$5:$A$152,MATCH(94,'BASE DE DATOS'!$Z$5:$Z$152,0)),"")</f>
        <v/>
      </c>
      <c r="C98" s="27" t="str">
        <f>IFERROR(INDEX('BASE DE DATOS'!$B$5:$B$152,MATCH(94,'BASE DE DATOS'!$Z$5:$Z$152,0)),"")</f>
        <v/>
      </c>
      <c r="D98" s="28" t="str">
        <f>IFERROR(INDEX('BASE DE DATOS'!$C$5:$C$152,MATCH(94,'BASE DE DATOS'!$Z$5:$Z$152,0)),"")</f>
        <v/>
      </c>
      <c r="E98" s="28" t="str">
        <f>IFERROR(INDEX('BASE DE DATOS'!$D$5:$D$152,MATCH(94,'BASE DE DATOS'!$Z$5:$Z$152,0)),"")</f>
        <v/>
      </c>
      <c r="F98" s="28" t="str">
        <f>IFERROR(INDEX('BASE DE DATOS'!$E$5:$E$152,MATCH(94,'BASE DE DATOS'!$Z$5:$Z$152,0)),"")</f>
        <v/>
      </c>
      <c r="G98" s="27" t="str">
        <f>IFERROR(INDEX('BASE DE DATOS'!$F$5:$F$152,MATCH(94,'BASE DE DATOS'!$Z$5:$Z$152,0)),"")</f>
        <v/>
      </c>
      <c r="H98" s="29" t="str">
        <f>IFERROR(INDEX('BASE DE DATOS'!$G$5:$G$152,MATCH(94,'BASE DE DATOS'!$Z$5:$Z$152,0)),"")</f>
        <v/>
      </c>
      <c r="I98" s="14" t="str">
        <f>IFERROR(INDEX('BASE DE DATOS'!$P$5:$P$152,MATCH(94,'BASE DE DATOS'!$Z$5:$Z$152,0)),"")</f>
        <v/>
      </c>
      <c r="J98" s="26" t="str">
        <f>IFERROR(INDEX('BASE DE DATOS'!$Q$5:$Q$152,MATCH(94,'BASE DE DATOS'!$Z$5:$Z$152,0)),"")</f>
        <v/>
      </c>
      <c r="K98" s="28" t="str">
        <f>IFERROR(INDEX('BASE DE DATOS'!$R$5:$R$152,MATCH(94,'BASE DE DATOS'!$Z$5:$Z$152,0)),"")</f>
        <v/>
      </c>
      <c r="L98" s="28" t="str">
        <f>IFERROR(INDEX('BASE DE DATOS'!$S$5:$S$152,MATCH(94,'BASE DE DATOS'!$Z$5:$Z$152,0)),"")</f>
        <v/>
      </c>
      <c r="M98" s="28" t="str">
        <f>IFERROR(INDEX('BASE DE DATOS'!$T$5:$T$152,MATCH(94,'BASE DE DATOS'!$Z$5:$Z$152,0)),"")</f>
        <v/>
      </c>
      <c r="N98" s="27" t="str">
        <f>IFERROR(INDEX('BASE DE DATOS'!$W$5:$W$152,MATCH(94,'BASE DE DATOS'!$Z$5:$Z$152,0)),"")</f>
        <v/>
      </c>
      <c r="O98" s="28" t="str">
        <f>IFERROR(INDEX('BASE DE DATOS'!$U$5:$U$152,MATCH(94,'BASE DE DATOS'!$Z$5:$Z$152,0)),"")</f>
        <v/>
      </c>
    </row>
    <row r="99" spans="1:15" x14ac:dyDescent="0.3">
      <c r="A99" s="9">
        <v>95</v>
      </c>
      <c r="B99" s="28" t="str">
        <f>IFERROR(INDEX('BASE DE DATOS'!$A$5:$A$152,MATCH(95,'BASE DE DATOS'!$Z$5:$Z$152,0)),"")</f>
        <v/>
      </c>
      <c r="C99" s="27" t="str">
        <f>IFERROR(INDEX('BASE DE DATOS'!$B$5:$B$152,MATCH(95,'BASE DE DATOS'!$Z$5:$Z$152,0)),"")</f>
        <v/>
      </c>
      <c r="D99" s="28" t="str">
        <f>IFERROR(INDEX('BASE DE DATOS'!$C$5:$C$152,MATCH(95,'BASE DE DATOS'!$Z$5:$Z$152,0)),"")</f>
        <v/>
      </c>
      <c r="E99" s="28" t="str">
        <f>IFERROR(INDEX('BASE DE DATOS'!$D$5:$D$152,MATCH(95,'BASE DE DATOS'!$Z$5:$Z$152,0)),"")</f>
        <v/>
      </c>
      <c r="F99" s="28" t="str">
        <f>IFERROR(INDEX('BASE DE DATOS'!$E$5:$E$152,MATCH(95,'BASE DE DATOS'!$Z$5:$Z$152,0)),"")</f>
        <v/>
      </c>
      <c r="G99" s="27" t="str">
        <f>IFERROR(INDEX('BASE DE DATOS'!$F$5:$F$152,MATCH(95,'BASE DE DATOS'!$Z$5:$Z$152,0)),"")</f>
        <v/>
      </c>
      <c r="H99" s="29" t="str">
        <f>IFERROR(INDEX('BASE DE DATOS'!$G$5:$G$152,MATCH(95,'BASE DE DATOS'!$Z$5:$Z$152,0)),"")</f>
        <v/>
      </c>
      <c r="I99" s="14" t="str">
        <f>IFERROR(INDEX('BASE DE DATOS'!$P$5:$P$152,MATCH(95,'BASE DE DATOS'!$Z$5:$Z$152,0)),"")</f>
        <v/>
      </c>
      <c r="J99" s="26" t="str">
        <f>IFERROR(INDEX('BASE DE DATOS'!$Q$5:$Q$152,MATCH(95,'BASE DE DATOS'!$Z$5:$Z$152,0)),"")</f>
        <v/>
      </c>
      <c r="K99" s="28" t="str">
        <f>IFERROR(INDEX('BASE DE DATOS'!$R$5:$R$152,MATCH(95,'BASE DE DATOS'!$Z$5:$Z$152,0)),"")</f>
        <v/>
      </c>
      <c r="L99" s="28" t="str">
        <f>IFERROR(INDEX('BASE DE DATOS'!$S$5:$S$152,MATCH(95,'BASE DE DATOS'!$Z$5:$Z$152,0)),"")</f>
        <v/>
      </c>
      <c r="M99" s="28" t="str">
        <f>IFERROR(INDEX('BASE DE DATOS'!$T$5:$T$152,MATCH(95,'BASE DE DATOS'!$Z$5:$Z$152,0)),"")</f>
        <v/>
      </c>
      <c r="N99" s="27" t="str">
        <f>IFERROR(INDEX('BASE DE DATOS'!$W$5:$W$152,MATCH(95,'BASE DE DATOS'!$Z$5:$Z$152,0)),"")</f>
        <v/>
      </c>
      <c r="O99" s="28" t="str">
        <f>IFERROR(INDEX('BASE DE DATOS'!$U$5:$U$152,MATCH(95,'BASE DE DATOS'!$Z$5:$Z$152,0)),"")</f>
        <v/>
      </c>
    </row>
    <row r="100" spans="1:15" x14ac:dyDescent="0.3">
      <c r="A100" s="9">
        <v>96</v>
      </c>
      <c r="B100" s="28" t="str">
        <f>IFERROR(INDEX('BASE DE DATOS'!$A$5:$A$152,MATCH(96,'BASE DE DATOS'!$Z$5:$Z$152,0)),"")</f>
        <v/>
      </c>
      <c r="C100" s="27" t="str">
        <f>IFERROR(INDEX('BASE DE DATOS'!$B$5:$B$152,MATCH(96,'BASE DE DATOS'!$Z$5:$Z$152,0)),"")</f>
        <v/>
      </c>
      <c r="D100" s="28" t="str">
        <f>IFERROR(INDEX('BASE DE DATOS'!$C$5:$C$152,MATCH(96,'BASE DE DATOS'!$Z$5:$Z$152,0)),"")</f>
        <v/>
      </c>
      <c r="E100" s="28" t="str">
        <f>IFERROR(INDEX('BASE DE DATOS'!$D$5:$D$152,MATCH(96,'BASE DE DATOS'!$Z$5:$Z$152,0)),"")</f>
        <v/>
      </c>
      <c r="F100" s="28" t="str">
        <f>IFERROR(INDEX('BASE DE DATOS'!$E$5:$E$152,MATCH(96,'BASE DE DATOS'!$Z$5:$Z$152,0)),"")</f>
        <v/>
      </c>
      <c r="G100" s="27" t="str">
        <f>IFERROR(INDEX('BASE DE DATOS'!$F$5:$F$152,MATCH(96,'BASE DE DATOS'!$Z$5:$Z$152,0)),"")</f>
        <v/>
      </c>
      <c r="H100" s="29" t="str">
        <f>IFERROR(INDEX('BASE DE DATOS'!$G$5:$G$152,MATCH(96,'BASE DE DATOS'!$Z$5:$Z$152,0)),"")</f>
        <v/>
      </c>
      <c r="I100" s="14" t="str">
        <f>IFERROR(INDEX('BASE DE DATOS'!$P$5:$P$152,MATCH(96,'BASE DE DATOS'!$Z$5:$Z$152,0)),"")</f>
        <v/>
      </c>
      <c r="J100" s="26" t="str">
        <f>IFERROR(INDEX('BASE DE DATOS'!$Q$5:$Q$152,MATCH(96,'BASE DE DATOS'!$Z$5:$Z$152,0)),"")</f>
        <v/>
      </c>
      <c r="K100" s="28" t="str">
        <f>IFERROR(INDEX('BASE DE DATOS'!$R$5:$R$152,MATCH(96,'BASE DE DATOS'!$Z$5:$Z$152,0)),"")</f>
        <v/>
      </c>
      <c r="L100" s="28" t="str">
        <f>IFERROR(INDEX('BASE DE DATOS'!$S$5:$S$152,MATCH(96,'BASE DE DATOS'!$Z$5:$Z$152,0)),"")</f>
        <v/>
      </c>
      <c r="M100" s="28" t="str">
        <f>IFERROR(INDEX('BASE DE DATOS'!$T$5:$T$152,MATCH(96,'BASE DE DATOS'!$Z$5:$Z$152,0)),"")</f>
        <v/>
      </c>
      <c r="N100" s="27" t="str">
        <f>IFERROR(INDEX('BASE DE DATOS'!$W$5:$W$152,MATCH(96,'BASE DE DATOS'!$Z$5:$Z$152,0)),"")</f>
        <v/>
      </c>
      <c r="O100" s="28" t="str">
        <f>IFERROR(INDEX('BASE DE DATOS'!$U$5:$U$152,MATCH(96,'BASE DE DATOS'!$Z$5:$Z$152,0)),"")</f>
        <v/>
      </c>
    </row>
    <row r="101" spans="1:15" x14ac:dyDescent="0.3">
      <c r="A101" s="9">
        <v>97</v>
      </c>
      <c r="B101" s="28" t="str">
        <f>IFERROR(INDEX('BASE DE DATOS'!$A$5:$A$152,MATCH(97,'BASE DE DATOS'!$Z$5:$Z$152,0)),"")</f>
        <v/>
      </c>
      <c r="C101" s="27" t="str">
        <f>IFERROR(INDEX('BASE DE DATOS'!$B$5:$B$152,MATCH(97,'BASE DE DATOS'!$Z$5:$Z$152,0)),"")</f>
        <v/>
      </c>
      <c r="D101" s="28" t="str">
        <f>IFERROR(INDEX('BASE DE DATOS'!$C$5:$C$152,MATCH(97,'BASE DE DATOS'!$Z$5:$Z$152,0)),"")</f>
        <v/>
      </c>
      <c r="E101" s="28" t="str">
        <f>IFERROR(INDEX('BASE DE DATOS'!$D$5:$D$152,MATCH(97,'BASE DE DATOS'!$Z$5:$Z$152,0)),"")</f>
        <v/>
      </c>
      <c r="F101" s="28" t="str">
        <f>IFERROR(INDEX('BASE DE DATOS'!$E$5:$E$152,MATCH(97,'BASE DE DATOS'!$Z$5:$Z$152,0)),"")</f>
        <v/>
      </c>
      <c r="G101" s="27" t="str">
        <f>IFERROR(INDEX('BASE DE DATOS'!$F$5:$F$152,MATCH(97,'BASE DE DATOS'!$Z$5:$Z$152,0)),"")</f>
        <v/>
      </c>
      <c r="H101" s="29" t="str">
        <f>IFERROR(INDEX('BASE DE DATOS'!$G$5:$G$152,MATCH(97,'BASE DE DATOS'!$Z$5:$Z$152,0)),"")</f>
        <v/>
      </c>
      <c r="I101" s="14" t="str">
        <f>IFERROR(INDEX('BASE DE DATOS'!$P$5:$P$152,MATCH(97,'BASE DE DATOS'!$Z$5:$Z$152,0)),"")</f>
        <v/>
      </c>
      <c r="J101" s="26" t="str">
        <f>IFERROR(INDEX('BASE DE DATOS'!$Q$5:$Q$152,MATCH(97,'BASE DE DATOS'!$Z$5:$Z$152,0)),"")</f>
        <v/>
      </c>
      <c r="K101" s="28" t="str">
        <f>IFERROR(INDEX('BASE DE DATOS'!$R$5:$R$152,MATCH(97,'BASE DE DATOS'!$Z$5:$Z$152,0)),"")</f>
        <v/>
      </c>
      <c r="L101" s="28" t="str">
        <f>IFERROR(INDEX('BASE DE DATOS'!$S$5:$S$152,MATCH(97,'BASE DE DATOS'!$Z$5:$Z$152,0)),"")</f>
        <v/>
      </c>
      <c r="M101" s="28" t="str">
        <f>IFERROR(INDEX('BASE DE DATOS'!$T$5:$T$152,MATCH(97,'BASE DE DATOS'!$Z$5:$Z$152,0)),"")</f>
        <v/>
      </c>
      <c r="N101" s="27" t="str">
        <f>IFERROR(INDEX('BASE DE DATOS'!$W$5:$W$152,MATCH(97,'BASE DE DATOS'!$Z$5:$Z$152,0)),"")</f>
        <v/>
      </c>
      <c r="O101" s="28" t="str">
        <f>IFERROR(INDEX('BASE DE DATOS'!$U$5:$U$152,MATCH(97,'BASE DE DATOS'!$Z$5:$Z$152,0)),"")</f>
        <v/>
      </c>
    </row>
    <row r="102" spans="1:15" x14ac:dyDescent="0.3">
      <c r="A102" s="9">
        <v>98</v>
      </c>
      <c r="B102" s="28" t="str">
        <f>IFERROR(INDEX('BASE DE DATOS'!$A$5:$A$152,MATCH(98,'BASE DE DATOS'!$Z$5:$Z$152,0)),"")</f>
        <v/>
      </c>
      <c r="C102" s="27" t="str">
        <f>IFERROR(INDEX('BASE DE DATOS'!$B$5:$B$152,MATCH(98,'BASE DE DATOS'!$Z$5:$Z$152,0)),"")</f>
        <v/>
      </c>
      <c r="D102" s="28" t="str">
        <f>IFERROR(INDEX('BASE DE DATOS'!$C$5:$C$152,MATCH(98,'BASE DE DATOS'!$Z$5:$Z$152,0)),"")</f>
        <v/>
      </c>
      <c r="E102" s="28" t="str">
        <f>IFERROR(INDEX('BASE DE DATOS'!$D$5:$D$152,MATCH(98,'BASE DE DATOS'!$Z$5:$Z$152,0)),"")</f>
        <v/>
      </c>
      <c r="F102" s="28" t="str">
        <f>IFERROR(INDEX('BASE DE DATOS'!$E$5:$E$152,MATCH(98,'BASE DE DATOS'!$Z$5:$Z$152,0)),"")</f>
        <v/>
      </c>
      <c r="G102" s="27" t="str">
        <f>IFERROR(INDEX('BASE DE DATOS'!$F$5:$F$152,MATCH(98,'BASE DE DATOS'!$Z$5:$Z$152,0)),"")</f>
        <v/>
      </c>
      <c r="H102" s="29" t="str">
        <f>IFERROR(INDEX('BASE DE DATOS'!$G$5:$G$152,MATCH(98,'BASE DE DATOS'!$Z$5:$Z$152,0)),"")</f>
        <v/>
      </c>
      <c r="I102" s="14" t="str">
        <f>IFERROR(INDEX('BASE DE DATOS'!$P$5:$P$152,MATCH(98,'BASE DE DATOS'!$Z$5:$Z$152,0)),"")</f>
        <v/>
      </c>
      <c r="J102" s="26" t="str">
        <f>IFERROR(INDEX('BASE DE DATOS'!$Q$5:$Q$152,MATCH(98,'BASE DE DATOS'!$Z$5:$Z$152,0)),"")</f>
        <v/>
      </c>
      <c r="K102" s="28" t="str">
        <f>IFERROR(INDEX('BASE DE DATOS'!$R$5:$R$152,MATCH(98,'BASE DE DATOS'!$Z$5:$Z$152,0)),"")</f>
        <v/>
      </c>
      <c r="L102" s="28" t="str">
        <f>IFERROR(INDEX('BASE DE DATOS'!$S$5:$S$152,MATCH(98,'BASE DE DATOS'!$Z$5:$Z$152,0)),"")</f>
        <v/>
      </c>
      <c r="M102" s="28" t="str">
        <f>IFERROR(INDEX('BASE DE DATOS'!$T$5:$T$152,MATCH(98,'BASE DE DATOS'!$Z$5:$Z$152,0)),"")</f>
        <v/>
      </c>
      <c r="N102" s="27" t="str">
        <f>IFERROR(INDEX('BASE DE DATOS'!$W$5:$W$152,MATCH(98,'BASE DE DATOS'!$Z$5:$Z$152,0)),"")</f>
        <v/>
      </c>
      <c r="O102" s="28" t="str">
        <f>IFERROR(INDEX('BASE DE DATOS'!$U$5:$U$152,MATCH(98,'BASE DE DATOS'!$Z$5:$Z$152,0)),"")</f>
        <v/>
      </c>
    </row>
    <row r="103" spans="1:15" x14ac:dyDescent="0.3">
      <c r="A103" s="9">
        <v>99</v>
      </c>
      <c r="B103" s="28" t="str">
        <f>IFERROR(INDEX('BASE DE DATOS'!$A$5:$A$152,MATCH(99,'BASE DE DATOS'!$Z$5:$Z$152,0)),"")</f>
        <v/>
      </c>
      <c r="C103" s="27" t="str">
        <f>IFERROR(INDEX('BASE DE DATOS'!$B$5:$B$152,MATCH(99,'BASE DE DATOS'!$Z$5:$Z$152,0)),"")</f>
        <v/>
      </c>
      <c r="D103" s="28" t="str">
        <f>IFERROR(INDEX('BASE DE DATOS'!$C$5:$C$152,MATCH(99,'BASE DE DATOS'!$Z$5:$Z$152,0)),"")</f>
        <v/>
      </c>
      <c r="E103" s="28" t="str">
        <f>IFERROR(INDEX('BASE DE DATOS'!$D$5:$D$152,MATCH(99,'BASE DE DATOS'!$Z$5:$Z$152,0)),"")</f>
        <v/>
      </c>
      <c r="F103" s="28" t="str">
        <f>IFERROR(INDEX('BASE DE DATOS'!$E$5:$E$152,MATCH(99,'BASE DE DATOS'!$Z$5:$Z$152,0)),"")</f>
        <v/>
      </c>
      <c r="G103" s="27" t="str">
        <f>IFERROR(INDEX('BASE DE DATOS'!$F$5:$F$152,MATCH(99,'BASE DE DATOS'!$Z$5:$Z$152,0)),"")</f>
        <v/>
      </c>
      <c r="H103" s="29" t="str">
        <f>IFERROR(INDEX('BASE DE DATOS'!$G$5:$G$152,MATCH(99,'BASE DE DATOS'!$Z$5:$Z$152,0)),"")</f>
        <v/>
      </c>
      <c r="I103" s="14" t="str">
        <f>IFERROR(INDEX('BASE DE DATOS'!$P$5:$P$152,MATCH(99,'BASE DE DATOS'!$Z$5:$Z$152,0)),"")</f>
        <v/>
      </c>
      <c r="J103" s="26" t="str">
        <f>IFERROR(INDEX('BASE DE DATOS'!$Q$5:$Q$152,MATCH(99,'BASE DE DATOS'!$Z$5:$Z$152,0)),"")</f>
        <v/>
      </c>
      <c r="K103" s="28" t="str">
        <f>IFERROR(INDEX('BASE DE DATOS'!$R$5:$R$152,MATCH(99,'BASE DE DATOS'!$Z$5:$Z$152,0)),"")</f>
        <v/>
      </c>
      <c r="L103" s="28" t="str">
        <f>IFERROR(INDEX('BASE DE DATOS'!$S$5:$S$152,MATCH(99,'BASE DE DATOS'!$Z$5:$Z$152,0)),"")</f>
        <v/>
      </c>
      <c r="M103" s="28" t="str">
        <f>IFERROR(INDEX('BASE DE DATOS'!$T$5:$T$152,MATCH(99,'BASE DE DATOS'!$Z$5:$Z$152,0)),"")</f>
        <v/>
      </c>
      <c r="N103" s="27" t="str">
        <f>IFERROR(INDEX('BASE DE DATOS'!$W$5:$W$152,MATCH(99,'BASE DE DATOS'!$Z$5:$Z$152,0)),"")</f>
        <v/>
      </c>
      <c r="O103" s="28" t="str">
        <f>IFERROR(INDEX('BASE DE DATOS'!$U$5:$U$152,MATCH(99,'BASE DE DATOS'!$Z$5:$Z$152,0)),"")</f>
        <v/>
      </c>
    </row>
    <row r="104" spans="1:15" x14ac:dyDescent="0.3">
      <c r="A104" s="9">
        <v>100</v>
      </c>
      <c r="B104" s="28" t="str">
        <f>IFERROR(INDEX('BASE DE DATOS'!$A$5:$A$152,MATCH(100,'BASE DE DATOS'!$Z$5:$Z$152,0)),"")</f>
        <v/>
      </c>
      <c r="C104" s="27" t="str">
        <f>IFERROR(INDEX('BASE DE DATOS'!$B$5:$B$152,MATCH(100,'BASE DE DATOS'!$Z$5:$Z$152,0)),"")</f>
        <v/>
      </c>
      <c r="D104" s="28" t="str">
        <f>IFERROR(INDEX('BASE DE DATOS'!$C$5:$C$152,MATCH(100,'BASE DE DATOS'!$Z$5:$Z$152,0)),"")</f>
        <v/>
      </c>
      <c r="E104" s="28" t="str">
        <f>IFERROR(INDEX('BASE DE DATOS'!$D$5:$D$152,MATCH(100,'BASE DE DATOS'!$Z$5:$Z$152,0)),"")</f>
        <v/>
      </c>
      <c r="F104" s="28" t="str">
        <f>IFERROR(INDEX('BASE DE DATOS'!$E$5:$E$152,MATCH(100,'BASE DE DATOS'!$Z$5:$Z$152,0)),"")</f>
        <v/>
      </c>
      <c r="G104" s="27" t="str">
        <f>IFERROR(INDEX('BASE DE DATOS'!$F$5:$F$152,MATCH(100,'BASE DE DATOS'!$Z$5:$Z$152,0)),"")</f>
        <v/>
      </c>
      <c r="H104" s="29" t="str">
        <f>IFERROR(INDEX('BASE DE DATOS'!$G$5:$G$152,MATCH(100,'BASE DE DATOS'!$Z$5:$Z$152,0)),"")</f>
        <v/>
      </c>
      <c r="I104" s="14" t="str">
        <f>IFERROR(INDEX('BASE DE DATOS'!$P$5:$P$152,MATCH(100,'BASE DE DATOS'!$Z$5:$Z$152,0)),"")</f>
        <v/>
      </c>
      <c r="J104" s="26" t="str">
        <f>IFERROR(INDEX('BASE DE DATOS'!$Q$5:$Q$152,MATCH(100,'BASE DE DATOS'!$Z$5:$Z$152,0)),"")</f>
        <v/>
      </c>
      <c r="K104" s="28" t="str">
        <f>IFERROR(INDEX('BASE DE DATOS'!$R$5:$R$152,MATCH(100,'BASE DE DATOS'!$Z$5:$Z$152,0)),"")</f>
        <v/>
      </c>
      <c r="L104" s="28" t="str">
        <f>IFERROR(INDEX('BASE DE DATOS'!$S$5:$S$152,MATCH(100,'BASE DE DATOS'!$Z$5:$Z$152,0)),"")</f>
        <v/>
      </c>
      <c r="M104" s="28" t="str">
        <f>IFERROR(INDEX('BASE DE DATOS'!$T$5:$T$152,MATCH(100,'BASE DE DATOS'!$Z$5:$Z$152,0)),"")</f>
        <v/>
      </c>
      <c r="N104" s="27" t="str">
        <f>IFERROR(INDEX('BASE DE DATOS'!$W$5:$W$152,MATCH(100,'BASE DE DATOS'!$Z$5:$Z$152,0)),"")</f>
        <v/>
      </c>
      <c r="O104" s="28" t="str">
        <f>IFERROR(INDEX('BASE DE DATOS'!$U$5:$U$152,MATCH(100,'BASE DE DATOS'!$Z$5:$Z$152,0)),"")</f>
        <v/>
      </c>
    </row>
    <row r="105" spans="1:15" x14ac:dyDescent="0.3">
      <c r="A105" s="9">
        <v>101</v>
      </c>
      <c r="B105" s="28" t="str">
        <f>IFERROR(INDEX('BASE DE DATOS'!$A$5:$A$152,MATCH(101,'BASE DE DATOS'!$Z$5:$Z$152,0)),"")</f>
        <v/>
      </c>
      <c r="C105" s="27" t="str">
        <f>IFERROR(INDEX('BASE DE DATOS'!$B$5:$B$152,MATCH(101,'BASE DE DATOS'!$Z$5:$Z$152,0)),"")</f>
        <v/>
      </c>
      <c r="D105" s="28" t="str">
        <f>IFERROR(INDEX('BASE DE DATOS'!$C$5:$C$152,MATCH(101,'BASE DE DATOS'!$Z$5:$Z$152,0)),"")</f>
        <v/>
      </c>
      <c r="E105" s="28" t="str">
        <f>IFERROR(INDEX('BASE DE DATOS'!$D$5:$D$152,MATCH(101,'BASE DE DATOS'!$Z$5:$Z$152,0)),"")</f>
        <v/>
      </c>
      <c r="F105" s="28" t="str">
        <f>IFERROR(INDEX('BASE DE DATOS'!$E$5:$E$152,MATCH(101,'BASE DE DATOS'!$Z$5:$Z$152,0)),"")</f>
        <v/>
      </c>
      <c r="G105" s="27" t="str">
        <f>IFERROR(INDEX('BASE DE DATOS'!$F$5:$F$152,MATCH(101,'BASE DE DATOS'!$Z$5:$Z$152,0)),"")</f>
        <v/>
      </c>
      <c r="H105" s="29" t="str">
        <f>IFERROR(INDEX('BASE DE DATOS'!$G$5:$G$152,MATCH(101,'BASE DE DATOS'!$Z$5:$Z$152,0)),"")</f>
        <v/>
      </c>
      <c r="I105" s="14" t="str">
        <f>IFERROR(INDEX('BASE DE DATOS'!$P$5:$P$152,MATCH(101,'BASE DE DATOS'!$Z$5:$Z$152,0)),"")</f>
        <v/>
      </c>
      <c r="J105" s="26" t="str">
        <f>IFERROR(INDEX('BASE DE DATOS'!$Q$5:$Q$152,MATCH(101,'BASE DE DATOS'!$Z$5:$Z$152,0)),"")</f>
        <v/>
      </c>
      <c r="K105" s="28" t="str">
        <f>IFERROR(INDEX('BASE DE DATOS'!$R$5:$R$152,MATCH(101,'BASE DE DATOS'!$Z$5:$Z$152,0)),"")</f>
        <v/>
      </c>
      <c r="L105" s="28" t="str">
        <f>IFERROR(INDEX('BASE DE DATOS'!$S$5:$S$152,MATCH(101,'BASE DE DATOS'!$Z$5:$Z$152,0)),"")</f>
        <v/>
      </c>
      <c r="M105" s="28" t="str">
        <f>IFERROR(INDEX('BASE DE DATOS'!$T$5:$T$152,MATCH(101,'BASE DE DATOS'!$Z$5:$Z$152,0)),"")</f>
        <v/>
      </c>
      <c r="N105" s="27" t="str">
        <f>IFERROR(INDEX('BASE DE DATOS'!$W$5:$W$152,MATCH(101,'BASE DE DATOS'!$Z$5:$Z$152,0)),"")</f>
        <v/>
      </c>
      <c r="O105" s="28" t="str">
        <f>IFERROR(INDEX('BASE DE DATOS'!$U$5:$U$152,MATCH(101,'BASE DE DATOS'!$Z$5:$Z$152,0)),"")</f>
        <v/>
      </c>
    </row>
    <row r="106" spans="1:15" x14ac:dyDescent="0.3">
      <c r="A106" s="9">
        <v>102</v>
      </c>
      <c r="B106" s="28" t="str">
        <f>IFERROR(INDEX('BASE DE DATOS'!$A$5:$A$152,MATCH(102,'BASE DE DATOS'!$Z$5:$Z$152,0)),"")</f>
        <v/>
      </c>
      <c r="C106" s="27" t="str">
        <f>IFERROR(INDEX('BASE DE DATOS'!$B$5:$B$152,MATCH(102,'BASE DE DATOS'!$Z$5:$Z$152,0)),"")</f>
        <v/>
      </c>
      <c r="D106" s="28" t="str">
        <f>IFERROR(INDEX('BASE DE DATOS'!$C$5:$C$152,MATCH(102,'BASE DE DATOS'!$Z$5:$Z$152,0)),"")</f>
        <v/>
      </c>
      <c r="E106" s="28" t="str">
        <f>IFERROR(INDEX('BASE DE DATOS'!$D$5:$D$152,MATCH(102,'BASE DE DATOS'!$Z$5:$Z$152,0)),"")</f>
        <v/>
      </c>
      <c r="F106" s="28" t="str">
        <f>IFERROR(INDEX('BASE DE DATOS'!$E$5:$E$152,MATCH(102,'BASE DE DATOS'!$Z$5:$Z$152,0)),"")</f>
        <v/>
      </c>
      <c r="G106" s="27" t="str">
        <f>IFERROR(INDEX('BASE DE DATOS'!$F$5:$F$152,MATCH(102,'BASE DE DATOS'!$Z$5:$Z$152,0)),"")</f>
        <v/>
      </c>
      <c r="H106" s="29" t="str">
        <f>IFERROR(INDEX('BASE DE DATOS'!$G$5:$G$152,MATCH(102,'BASE DE DATOS'!$Z$5:$Z$152,0)),"")</f>
        <v/>
      </c>
      <c r="I106" s="14" t="str">
        <f>IFERROR(INDEX('BASE DE DATOS'!$P$5:$P$152,MATCH(102,'BASE DE DATOS'!$Z$5:$Z$152,0)),"")</f>
        <v/>
      </c>
      <c r="J106" s="26" t="str">
        <f>IFERROR(INDEX('BASE DE DATOS'!$Q$5:$Q$152,MATCH(102,'BASE DE DATOS'!$Z$5:$Z$152,0)),"")</f>
        <v/>
      </c>
      <c r="K106" s="28" t="str">
        <f>IFERROR(INDEX('BASE DE DATOS'!$R$5:$R$152,MATCH(102,'BASE DE DATOS'!$Z$5:$Z$152,0)),"")</f>
        <v/>
      </c>
      <c r="L106" s="28" t="str">
        <f>IFERROR(INDEX('BASE DE DATOS'!$S$5:$S$152,MATCH(102,'BASE DE DATOS'!$Z$5:$Z$152,0)),"")</f>
        <v/>
      </c>
      <c r="M106" s="28" t="str">
        <f>IFERROR(INDEX('BASE DE DATOS'!$T$5:$T$152,MATCH(102,'BASE DE DATOS'!$Z$5:$Z$152,0)),"")</f>
        <v/>
      </c>
      <c r="N106" s="27" t="str">
        <f>IFERROR(INDEX('BASE DE DATOS'!$W$5:$W$152,MATCH(102,'BASE DE DATOS'!$Z$5:$Z$152,0)),"")</f>
        <v/>
      </c>
      <c r="O106" s="28" t="str">
        <f>IFERROR(INDEX('BASE DE DATOS'!$U$5:$U$152,MATCH(102,'BASE DE DATOS'!$Z$5:$Z$152,0)),"")</f>
        <v/>
      </c>
    </row>
    <row r="107" spans="1:15" x14ac:dyDescent="0.3">
      <c r="A107" s="9">
        <v>103</v>
      </c>
      <c r="B107" s="28" t="str">
        <f>IFERROR(INDEX('BASE DE DATOS'!$A$5:$A$152,MATCH(103,'BASE DE DATOS'!$Z$5:$Z$152,0)),"")</f>
        <v/>
      </c>
      <c r="C107" s="27" t="str">
        <f>IFERROR(INDEX('BASE DE DATOS'!$B$5:$B$152,MATCH(103,'BASE DE DATOS'!$Z$5:$Z$152,0)),"")</f>
        <v/>
      </c>
      <c r="D107" s="28" t="str">
        <f>IFERROR(INDEX('BASE DE DATOS'!$C$5:$C$152,MATCH(103,'BASE DE DATOS'!$Z$5:$Z$152,0)),"")</f>
        <v/>
      </c>
      <c r="E107" s="28" t="str">
        <f>IFERROR(INDEX('BASE DE DATOS'!$D$5:$D$152,MATCH(103,'BASE DE DATOS'!$Z$5:$Z$152,0)),"")</f>
        <v/>
      </c>
      <c r="F107" s="28" t="str">
        <f>IFERROR(INDEX('BASE DE DATOS'!$E$5:$E$152,MATCH(103,'BASE DE DATOS'!$Z$5:$Z$152,0)),"")</f>
        <v/>
      </c>
      <c r="G107" s="27" t="str">
        <f>IFERROR(INDEX('BASE DE DATOS'!$F$5:$F$152,MATCH(103,'BASE DE DATOS'!$Z$5:$Z$152,0)),"")</f>
        <v/>
      </c>
      <c r="H107" s="29" t="str">
        <f>IFERROR(INDEX('BASE DE DATOS'!$G$5:$G$152,MATCH(103,'BASE DE DATOS'!$Z$5:$Z$152,0)),"")</f>
        <v/>
      </c>
      <c r="I107" s="14" t="str">
        <f>IFERROR(INDEX('BASE DE DATOS'!$P$5:$P$152,MATCH(103,'BASE DE DATOS'!$Z$5:$Z$152,0)),"")</f>
        <v/>
      </c>
      <c r="J107" s="26" t="str">
        <f>IFERROR(INDEX('BASE DE DATOS'!$Q$5:$Q$152,MATCH(103,'BASE DE DATOS'!$Z$5:$Z$152,0)),"")</f>
        <v/>
      </c>
      <c r="K107" s="28" t="str">
        <f>IFERROR(INDEX('BASE DE DATOS'!$R$5:$R$152,MATCH(103,'BASE DE DATOS'!$Z$5:$Z$152,0)),"")</f>
        <v/>
      </c>
      <c r="L107" s="28" t="str">
        <f>IFERROR(INDEX('BASE DE DATOS'!$S$5:$S$152,MATCH(103,'BASE DE DATOS'!$Z$5:$Z$152,0)),"")</f>
        <v/>
      </c>
      <c r="M107" s="28" t="str">
        <f>IFERROR(INDEX('BASE DE DATOS'!$T$5:$T$152,MATCH(103,'BASE DE DATOS'!$Z$5:$Z$152,0)),"")</f>
        <v/>
      </c>
      <c r="N107" s="27" t="str">
        <f>IFERROR(INDEX('BASE DE DATOS'!$W$5:$W$152,MATCH(103,'BASE DE DATOS'!$Z$5:$Z$152,0)),"")</f>
        <v/>
      </c>
      <c r="O107" s="28" t="str">
        <f>IFERROR(INDEX('BASE DE DATOS'!$U$5:$U$152,MATCH(103,'BASE DE DATOS'!$Z$5:$Z$152,0)),"")</f>
        <v/>
      </c>
    </row>
    <row r="108" spans="1:15" x14ac:dyDescent="0.3">
      <c r="A108" s="9">
        <v>104</v>
      </c>
      <c r="B108" s="28" t="str">
        <f>IFERROR(INDEX('BASE DE DATOS'!$A$5:$A$152,MATCH(104,'BASE DE DATOS'!$Z$5:$Z$152,0)),"")</f>
        <v/>
      </c>
      <c r="C108" s="27" t="str">
        <f>IFERROR(INDEX('BASE DE DATOS'!$B$5:$B$152,MATCH(104,'BASE DE DATOS'!$Z$5:$Z$152,0)),"")</f>
        <v/>
      </c>
      <c r="D108" s="28" t="str">
        <f>IFERROR(INDEX('BASE DE DATOS'!$C$5:$C$152,MATCH(104,'BASE DE DATOS'!$Z$5:$Z$152,0)),"")</f>
        <v/>
      </c>
      <c r="E108" s="28" t="str">
        <f>IFERROR(INDEX('BASE DE DATOS'!$D$5:$D$152,MATCH(104,'BASE DE DATOS'!$Z$5:$Z$152,0)),"")</f>
        <v/>
      </c>
      <c r="F108" s="28" t="str">
        <f>IFERROR(INDEX('BASE DE DATOS'!$E$5:$E$152,MATCH(104,'BASE DE DATOS'!$Z$5:$Z$152,0)),"")</f>
        <v/>
      </c>
      <c r="G108" s="27" t="str">
        <f>IFERROR(INDEX('BASE DE DATOS'!$F$5:$F$152,MATCH(104,'BASE DE DATOS'!$Z$5:$Z$152,0)),"")</f>
        <v/>
      </c>
      <c r="H108" s="29" t="str">
        <f>IFERROR(INDEX('BASE DE DATOS'!$G$5:$G$152,MATCH(104,'BASE DE DATOS'!$Z$5:$Z$152,0)),"")</f>
        <v/>
      </c>
      <c r="I108" s="14" t="str">
        <f>IFERROR(INDEX('BASE DE DATOS'!$P$5:$P$152,MATCH(104,'BASE DE DATOS'!$Z$5:$Z$152,0)),"")</f>
        <v/>
      </c>
      <c r="J108" s="26" t="str">
        <f>IFERROR(INDEX('BASE DE DATOS'!$Q$5:$Q$152,MATCH(104,'BASE DE DATOS'!$Z$5:$Z$152,0)),"")</f>
        <v/>
      </c>
      <c r="K108" s="28" t="str">
        <f>IFERROR(INDEX('BASE DE DATOS'!$R$5:$R$152,MATCH(104,'BASE DE DATOS'!$Z$5:$Z$152,0)),"")</f>
        <v/>
      </c>
      <c r="L108" s="28" t="str">
        <f>IFERROR(INDEX('BASE DE DATOS'!$S$5:$S$152,MATCH(104,'BASE DE DATOS'!$Z$5:$Z$152,0)),"")</f>
        <v/>
      </c>
      <c r="M108" s="28" t="str">
        <f>IFERROR(INDEX('BASE DE DATOS'!$T$5:$T$152,MATCH(104,'BASE DE DATOS'!$Z$5:$Z$152,0)),"")</f>
        <v/>
      </c>
      <c r="N108" s="27" t="str">
        <f>IFERROR(INDEX('BASE DE DATOS'!$W$5:$W$152,MATCH(104,'BASE DE DATOS'!$Z$5:$Z$152,0)),"")</f>
        <v/>
      </c>
      <c r="O108" s="28" t="str">
        <f>IFERROR(INDEX('BASE DE DATOS'!$U$5:$U$152,MATCH(104,'BASE DE DATOS'!$Z$5:$Z$152,0)),"")</f>
        <v/>
      </c>
    </row>
    <row r="109" spans="1:15" x14ac:dyDescent="0.3">
      <c r="A109" s="9">
        <v>105</v>
      </c>
      <c r="B109" s="28" t="str">
        <f>IFERROR(INDEX('BASE DE DATOS'!$A$5:$A$152,MATCH(105,'BASE DE DATOS'!$Z$5:$Z$152,0)),"")</f>
        <v/>
      </c>
      <c r="C109" s="27" t="str">
        <f>IFERROR(INDEX('BASE DE DATOS'!$B$5:$B$152,MATCH(105,'BASE DE DATOS'!$Z$5:$Z$152,0)),"")</f>
        <v/>
      </c>
      <c r="D109" s="28" t="str">
        <f>IFERROR(INDEX('BASE DE DATOS'!$C$5:$C$152,MATCH(105,'BASE DE DATOS'!$Z$5:$Z$152,0)),"")</f>
        <v/>
      </c>
      <c r="E109" s="28" t="str">
        <f>IFERROR(INDEX('BASE DE DATOS'!$D$5:$D$152,MATCH(105,'BASE DE DATOS'!$Z$5:$Z$152,0)),"")</f>
        <v/>
      </c>
      <c r="F109" s="28" t="str">
        <f>IFERROR(INDEX('BASE DE DATOS'!$E$5:$E$152,MATCH(105,'BASE DE DATOS'!$Z$5:$Z$152,0)),"")</f>
        <v/>
      </c>
      <c r="G109" s="27" t="str">
        <f>IFERROR(INDEX('BASE DE DATOS'!$F$5:$F$152,MATCH(105,'BASE DE DATOS'!$Z$5:$Z$152,0)),"")</f>
        <v/>
      </c>
      <c r="H109" s="29" t="str">
        <f>IFERROR(INDEX('BASE DE DATOS'!$G$5:$G$152,MATCH(105,'BASE DE DATOS'!$Z$5:$Z$152,0)),"")</f>
        <v/>
      </c>
      <c r="I109" s="14" t="str">
        <f>IFERROR(INDEX('BASE DE DATOS'!$P$5:$P$152,MATCH(105,'BASE DE DATOS'!$Z$5:$Z$152,0)),"")</f>
        <v/>
      </c>
      <c r="J109" s="26" t="str">
        <f>IFERROR(INDEX('BASE DE DATOS'!$Q$5:$Q$152,MATCH(105,'BASE DE DATOS'!$Z$5:$Z$152,0)),"")</f>
        <v/>
      </c>
      <c r="K109" s="28" t="str">
        <f>IFERROR(INDEX('BASE DE DATOS'!$R$5:$R$152,MATCH(105,'BASE DE DATOS'!$Z$5:$Z$152,0)),"")</f>
        <v/>
      </c>
      <c r="L109" s="28" t="str">
        <f>IFERROR(INDEX('BASE DE DATOS'!$S$5:$S$152,MATCH(105,'BASE DE DATOS'!$Z$5:$Z$152,0)),"")</f>
        <v/>
      </c>
      <c r="M109" s="28" t="str">
        <f>IFERROR(INDEX('BASE DE DATOS'!$T$5:$T$152,MATCH(105,'BASE DE DATOS'!$Z$5:$Z$152,0)),"")</f>
        <v/>
      </c>
      <c r="N109" s="27" t="str">
        <f>IFERROR(INDEX('BASE DE DATOS'!$W$5:$W$152,MATCH(105,'BASE DE DATOS'!$Z$5:$Z$152,0)),"")</f>
        <v/>
      </c>
      <c r="O109" s="28" t="str">
        <f>IFERROR(INDEX('BASE DE DATOS'!$U$5:$U$152,MATCH(105,'BASE DE DATOS'!$Z$5:$Z$152,0)),"")</f>
        <v/>
      </c>
    </row>
    <row r="110" spans="1:15" x14ac:dyDescent="0.3">
      <c r="A110" s="9">
        <v>106</v>
      </c>
      <c r="B110" s="28" t="str">
        <f>IFERROR(INDEX('BASE DE DATOS'!$A$5:$A$152,MATCH(106,'BASE DE DATOS'!$Z$5:$Z$152,0)),"")</f>
        <v/>
      </c>
      <c r="C110" s="27" t="str">
        <f>IFERROR(INDEX('BASE DE DATOS'!$B$5:$B$152,MATCH(106,'BASE DE DATOS'!$Z$5:$Z$152,0)),"")</f>
        <v/>
      </c>
      <c r="D110" s="28" t="str">
        <f>IFERROR(INDEX('BASE DE DATOS'!$C$5:$C$152,MATCH(106,'BASE DE DATOS'!$Z$5:$Z$152,0)),"")</f>
        <v/>
      </c>
      <c r="E110" s="28" t="str">
        <f>IFERROR(INDEX('BASE DE DATOS'!$D$5:$D$152,MATCH(106,'BASE DE DATOS'!$Z$5:$Z$152,0)),"")</f>
        <v/>
      </c>
      <c r="F110" s="28" t="str">
        <f>IFERROR(INDEX('BASE DE DATOS'!$E$5:$E$152,MATCH(106,'BASE DE DATOS'!$Z$5:$Z$152,0)),"")</f>
        <v/>
      </c>
      <c r="G110" s="27" t="str">
        <f>IFERROR(INDEX('BASE DE DATOS'!$F$5:$F$152,MATCH(106,'BASE DE DATOS'!$Z$5:$Z$152,0)),"")</f>
        <v/>
      </c>
      <c r="H110" s="29" t="str">
        <f>IFERROR(INDEX('BASE DE DATOS'!$G$5:$G$152,MATCH(106,'BASE DE DATOS'!$Z$5:$Z$152,0)),"")</f>
        <v/>
      </c>
      <c r="I110" s="14" t="str">
        <f>IFERROR(INDEX('BASE DE DATOS'!$P$5:$P$152,MATCH(106,'BASE DE DATOS'!$Z$5:$Z$152,0)),"")</f>
        <v/>
      </c>
      <c r="J110" s="26" t="str">
        <f>IFERROR(INDEX('BASE DE DATOS'!$Q$5:$Q$152,MATCH(106,'BASE DE DATOS'!$Z$5:$Z$152,0)),"")</f>
        <v/>
      </c>
      <c r="K110" s="28" t="str">
        <f>IFERROR(INDEX('BASE DE DATOS'!$R$5:$R$152,MATCH(106,'BASE DE DATOS'!$Z$5:$Z$152,0)),"")</f>
        <v/>
      </c>
      <c r="L110" s="28" t="str">
        <f>IFERROR(INDEX('BASE DE DATOS'!$S$5:$S$152,MATCH(106,'BASE DE DATOS'!$Z$5:$Z$152,0)),"")</f>
        <v/>
      </c>
      <c r="M110" s="28" t="str">
        <f>IFERROR(INDEX('BASE DE DATOS'!$T$5:$T$152,MATCH(106,'BASE DE DATOS'!$Z$5:$Z$152,0)),"")</f>
        <v/>
      </c>
      <c r="N110" s="27" t="str">
        <f>IFERROR(INDEX('BASE DE DATOS'!$W$5:$W$152,MATCH(106,'BASE DE DATOS'!$Z$5:$Z$152,0)),"")</f>
        <v/>
      </c>
      <c r="O110" s="28" t="str">
        <f>IFERROR(INDEX('BASE DE DATOS'!$U$5:$U$152,MATCH(106,'BASE DE DATOS'!$Z$5:$Z$152,0)),"")</f>
        <v/>
      </c>
    </row>
    <row r="111" spans="1:15" x14ac:dyDescent="0.3">
      <c r="A111" s="9">
        <v>107</v>
      </c>
      <c r="B111" s="28" t="str">
        <f>IFERROR(INDEX('BASE DE DATOS'!$A$5:$A$152,MATCH(107,'BASE DE DATOS'!$Z$5:$Z$152,0)),"")</f>
        <v/>
      </c>
      <c r="C111" s="27" t="str">
        <f>IFERROR(INDEX('BASE DE DATOS'!$B$5:$B$152,MATCH(107,'BASE DE DATOS'!$Z$5:$Z$152,0)),"")</f>
        <v/>
      </c>
      <c r="D111" s="28" t="str">
        <f>IFERROR(INDEX('BASE DE DATOS'!$C$5:$C$152,MATCH(107,'BASE DE DATOS'!$Z$5:$Z$152,0)),"")</f>
        <v/>
      </c>
      <c r="E111" s="28" t="str">
        <f>IFERROR(INDEX('BASE DE DATOS'!$D$5:$D$152,MATCH(107,'BASE DE DATOS'!$Z$5:$Z$152,0)),"")</f>
        <v/>
      </c>
      <c r="F111" s="28" t="str">
        <f>IFERROR(INDEX('BASE DE DATOS'!$E$5:$E$152,MATCH(107,'BASE DE DATOS'!$Z$5:$Z$152,0)),"")</f>
        <v/>
      </c>
      <c r="G111" s="27" t="str">
        <f>IFERROR(INDEX('BASE DE DATOS'!$F$5:$F$152,MATCH(107,'BASE DE DATOS'!$Z$5:$Z$152,0)),"")</f>
        <v/>
      </c>
      <c r="H111" s="29" t="str">
        <f>IFERROR(INDEX('BASE DE DATOS'!$G$5:$G$152,MATCH(107,'BASE DE DATOS'!$Z$5:$Z$152,0)),"")</f>
        <v/>
      </c>
      <c r="I111" s="14" t="str">
        <f>IFERROR(INDEX('BASE DE DATOS'!$P$5:$P$152,MATCH(107,'BASE DE DATOS'!$Z$5:$Z$152,0)),"")</f>
        <v/>
      </c>
      <c r="J111" s="26" t="str">
        <f>IFERROR(INDEX('BASE DE DATOS'!$Q$5:$Q$152,MATCH(107,'BASE DE DATOS'!$Z$5:$Z$152,0)),"")</f>
        <v/>
      </c>
      <c r="K111" s="28" t="str">
        <f>IFERROR(INDEX('BASE DE DATOS'!$R$5:$R$152,MATCH(107,'BASE DE DATOS'!$Z$5:$Z$152,0)),"")</f>
        <v/>
      </c>
      <c r="L111" s="28" t="str">
        <f>IFERROR(INDEX('BASE DE DATOS'!$S$5:$S$152,MATCH(107,'BASE DE DATOS'!$Z$5:$Z$152,0)),"")</f>
        <v/>
      </c>
      <c r="M111" s="28" t="str">
        <f>IFERROR(INDEX('BASE DE DATOS'!$T$5:$T$152,MATCH(107,'BASE DE DATOS'!$Z$5:$Z$152,0)),"")</f>
        <v/>
      </c>
      <c r="N111" s="27" t="str">
        <f>IFERROR(INDEX('BASE DE DATOS'!$W$5:$W$152,MATCH(107,'BASE DE DATOS'!$Z$5:$Z$152,0)),"")</f>
        <v/>
      </c>
      <c r="O111" s="28" t="str">
        <f>IFERROR(INDEX('BASE DE DATOS'!$U$5:$U$152,MATCH(107,'BASE DE DATOS'!$Z$5:$Z$152,0)),"")</f>
        <v/>
      </c>
    </row>
    <row r="112" spans="1:15" x14ac:dyDescent="0.3">
      <c r="A112" s="9">
        <v>108</v>
      </c>
      <c r="B112" s="28" t="str">
        <f>IFERROR(INDEX('BASE DE DATOS'!$A$5:$A$152,MATCH(108,'BASE DE DATOS'!$Z$5:$Z$152,0)),"")</f>
        <v/>
      </c>
      <c r="C112" s="27" t="str">
        <f>IFERROR(INDEX('BASE DE DATOS'!$B$5:$B$152,MATCH(108,'BASE DE DATOS'!$Z$5:$Z$152,0)),"")</f>
        <v/>
      </c>
      <c r="D112" s="28" t="str">
        <f>IFERROR(INDEX('BASE DE DATOS'!$C$5:$C$152,MATCH(108,'BASE DE DATOS'!$Z$5:$Z$152,0)),"")</f>
        <v/>
      </c>
      <c r="E112" s="28" t="str">
        <f>IFERROR(INDEX('BASE DE DATOS'!$D$5:$D$152,MATCH(108,'BASE DE DATOS'!$Z$5:$Z$152,0)),"")</f>
        <v/>
      </c>
      <c r="F112" s="28" t="str">
        <f>IFERROR(INDEX('BASE DE DATOS'!$E$5:$E$152,MATCH(108,'BASE DE DATOS'!$Z$5:$Z$152,0)),"")</f>
        <v/>
      </c>
      <c r="G112" s="27" t="str">
        <f>IFERROR(INDEX('BASE DE DATOS'!$F$5:$F$152,MATCH(108,'BASE DE DATOS'!$Z$5:$Z$152,0)),"")</f>
        <v/>
      </c>
      <c r="H112" s="29" t="str">
        <f>IFERROR(INDEX('BASE DE DATOS'!$G$5:$G$152,MATCH(108,'BASE DE DATOS'!$Z$5:$Z$152,0)),"")</f>
        <v/>
      </c>
      <c r="I112" s="14" t="str">
        <f>IFERROR(INDEX('BASE DE DATOS'!$P$5:$P$152,MATCH(108,'BASE DE DATOS'!$Z$5:$Z$152,0)),"")</f>
        <v/>
      </c>
      <c r="J112" s="26" t="str">
        <f>IFERROR(INDEX('BASE DE DATOS'!$Q$5:$Q$152,MATCH(108,'BASE DE DATOS'!$Z$5:$Z$152,0)),"")</f>
        <v/>
      </c>
      <c r="K112" s="28" t="str">
        <f>IFERROR(INDEX('BASE DE DATOS'!$R$5:$R$152,MATCH(108,'BASE DE DATOS'!$Z$5:$Z$152,0)),"")</f>
        <v/>
      </c>
      <c r="L112" s="28" t="str">
        <f>IFERROR(INDEX('BASE DE DATOS'!$S$5:$S$152,MATCH(108,'BASE DE DATOS'!$Z$5:$Z$152,0)),"")</f>
        <v/>
      </c>
      <c r="M112" s="28" t="str">
        <f>IFERROR(INDEX('BASE DE DATOS'!$T$5:$T$152,MATCH(108,'BASE DE DATOS'!$Z$5:$Z$152,0)),"")</f>
        <v/>
      </c>
      <c r="N112" s="27" t="str">
        <f>IFERROR(INDEX('BASE DE DATOS'!$W$5:$W$152,MATCH(108,'BASE DE DATOS'!$Z$5:$Z$152,0)),"")</f>
        <v/>
      </c>
      <c r="O112" s="28" t="str">
        <f>IFERROR(INDEX('BASE DE DATOS'!$U$5:$U$152,MATCH(108,'BASE DE DATOS'!$Z$5:$Z$152,0)),"")</f>
        <v/>
      </c>
    </row>
    <row r="113" spans="1:15" x14ac:dyDescent="0.3">
      <c r="A113" s="9">
        <v>109</v>
      </c>
      <c r="B113" s="28" t="str">
        <f>IFERROR(INDEX('BASE DE DATOS'!$A$5:$A$152,MATCH(109,'BASE DE DATOS'!$Z$5:$Z$152,0)),"")</f>
        <v/>
      </c>
      <c r="C113" s="27" t="str">
        <f>IFERROR(INDEX('BASE DE DATOS'!$B$5:$B$152,MATCH(109,'BASE DE DATOS'!$Z$5:$Z$152,0)),"")</f>
        <v/>
      </c>
      <c r="D113" s="28" t="str">
        <f>IFERROR(INDEX('BASE DE DATOS'!$C$5:$C$152,MATCH(109,'BASE DE DATOS'!$Z$5:$Z$152,0)),"")</f>
        <v/>
      </c>
      <c r="E113" s="28" t="str">
        <f>IFERROR(INDEX('BASE DE DATOS'!$D$5:$D$152,MATCH(109,'BASE DE DATOS'!$Z$5:$Z$152,0)),"")</f>
        <v/>
      </c>
      <c r="F113" s="28" t="str">
        <f>IFERROR(INDEX('BASE DE DATOS'!$E$5:$E$152,MATCH(109,'BASE DE DATOS'!$Z$5:$Z$152,0)),"")</f>
        <v/>
      </c>
      <c r="G113" s="27" t="str">
        <f>IFERROR(INDEX('BASE DE DATOS'!$F$5:$F$152,MATCH(109,'BASE DE DATOS'!$Z$5:$Z$152,0)),"")</f>
        <v/>
      </c>
      <c r="H113" s="29" t="str">
        <f>IFERROR(INDEX('BASE DE DATOS'!$G$5:$G$152,MATCH(109,'BASE DE DATOS'!$Z$5:$Z$152,0)),"")</f>
        <v/>
      </c>
      <c r="I113" s="14" t="str">
        <f>IFERROR(INDEX('BASE DE DATOS'!$P$5:$P$152,MATCH(109,'BASE DE DATOS'!$Z$5:$Z$152,0)),"")</f>
        <v/>
      </c>
      <c r="J113" s="26" t="str">
        <f>IFERROR(INDEX('BASE DE DATOS'!$Q$5:$Q$152,MATCH(109,'BASE DE DATOS'!$Z$5:$Z$152,0)),"")</f>
        <v/>
      </c>
      <c r="K113" s="28" t="str">
        <f>IFERROR(INDEX('BASE DE DATOS'!$R$5:$R$152,MATCH(109,'BASE DE DATOS'!$Z$5:$Z$152,0)),"")</f>
        <v/>
      </c>
      <c r="L113" s="28" t="str">
        <f>IFERROR(INDEX('BASE DE DATOS'!$S$5:$S$152,MATCH(109,'BASE DE DATOS'!$Z$5:$Z$152,0)),"")</f>
        <v/>
      </c>
      <c r="M113" s="28" t="str">
        <f>IFERROR(INDEX('BASE DE DATOS'!$T$5:$T$152,MATCH(109,'BASE DE DATOS'!$Z$5:$Z$152,0)),"")</f>
        <v/>
      </c>
      <c r="N113" s="27" t="str">
        <f>IFERROR(INDEX('BASE DE DATOS'!$W$5:$W$152,MATCH(109,'BASE DE DATOS'!$Z$5:$Z$152,0)),"")</f>
        <v/>
      </c>
      <c r="O113" s="28" t="str">
        <f>IFERROR(INDEX('BASE DE DATOS'!$U$5:$U$152,MATCH(109,'BASE DE DATOS'!$Z$5:$Z$152,0)),"")</f>
        <v/>
      </c>
    </row>
    <row r="114" spans="1:15" x14ac:dyDescent="0.3">
      <c r="A114" s="9">
        <v>110</v>
      </c>
      <c r="B114" s="28" t="str">
        <f>IFERROR(INDEX('BASE DE DATOS'!$A$5:$A$152,MATCH(110,'BASE DE DATOS'!$Z$5:$Z$152,0)),"")</f>
        <v/>
      </c>
      <c r="C114" s="27" t="str">
        <f>IFERROR(INDEX('BASE DE DATOS'!$B$5:$B$152,MATCH(110,'BASE DE DATOS'!$Z$5:$Z$152,0)),"")</f>
        <v/>
      </c>
      <c r="D114" s="28" t="str">
        <f>IFERROR(INDEX('BASE DE DATOS'!$C$5:$C$152,MATCH(110,'BASE DE DATOS'!$Z$5:$Z$152,0)),"")</f>
        <v/>
      </c>
      <c r="E114" s="28" t="str">
        <f>IFERROR(INDEX('BASE DE DATOS'!$D$5:$D$152,MATCH(110,'BASE DE DATOS'!$Z$5:$Z$152,0)),"")</f>
        <v/>
      </c>
      <c r="F114" s="28" t="str">
        <f>IFERROR(INDEX('BASE DE DATOS'!$E$5:$E$152,MATCH(110,'BASE DE DATOS'!$Z$5:$Z$152,0)),"")</f>
        <v/>
      </c>
      <c r="G114" s="27" t="str">
        <f>IFERROR(INDEX('BASE DE DATOS'!$F$5:$F$152,MATCH(110,'BASE DE DATOS'!$Z$5:$Z$152,0)),"")</f>
        <v/>
      </c>
      <c r="H114" s="29" t="str">
        <f>IFERROR(INDEX('BASE DE DATOS'!$G$5:$G$152,MATCH(110,'BASE DE DATOS'!$Z$5:$Z$152,0)),"")</f>
        <v/>
      </c>
      <c r="I114" s="14" t="str">
        <f>IFERROR(INDEX('BASE DE DATOS'!$P$5:$P$152,MATCH(110,'BASE DE DATOS'!$Z$5:$Z$152,0)),"")</f>
        <v/>
      </c>
      <c r="J114" s="26" t="str">
        <f>IFERROR(INDEX('BASE DE DATOS'!$Q$5:$Q$152,MATCH(110,'BASE DE DATOS'!$Z$5:$Z$152,0)),"")</f>
        <v/>
      </c>
      <c r="K114" s="28" t="str">
        <f>IFERROR(INDEX('BASE DE DATOS'!$R$5:$R$152,MATCH(110,'BASE DE DATOS'!$Z$5:$Z$152,0)),"")</f>
        <v/>
      </c>
      <c r="L114" s="28" t="str">
        <f>IFERROR(INDEX('BASE DE DATOS'!$S$5:$S$152,MATCH(110,'BASE DE DATOS'!$Z$5:$Z$152,0)),"")</f>
        <v/>
      </c>
      <c r="M114" s="28" t="str">
        <f>IFERROR(INDEX('BASE DE DATOS'!$T$5:$T$152,MATCH(110,'BASE DE DATOS'!$Z$5:$Z$152,0)),"")</f>
        <v/>
      </c>
      <c r="N114" s="27" t="str">
        <f>IFERROR(INDEX('BASE DE DATOS'!$W$5:$W$152,MATCH(110,'BASE DE DATOS'!$Z$5:$Z$152,0)),"")</f>
        <v/>
      </c>
      <c r="O114" s="28" t="str">
        <f>IFERROR(INDEX('BASE DE DATOS'!$U$5:$U$152,MATCH(110,'BASE DE DATOS'!$Z$5:$Z$152,0)),"")</f>
        <v/>
      </c>
    </row>
    <row r="115" spans="1:15" x14ac:dyDescent="0.3">
      <c r="A115" s="9">
        <v>111</v>
      </c>
      <c r="B115" s="28" t="str">
        <f>IFERROR(INDEX('BASE DE DATOS'!$A$5:$A$152,MATCH(111,'BASE DE DATOS'!$Z$5:$Z$152,0)),"")</f>
        <v/>
      </c>
      <c r="C115" s="27" t="str">
        <f>IFERROR(INDEX('BASE DE DATOS'!$B$5:$B$152,MATCH(111,'BASE DE DATOS'!$Z$5:$Z$152,0)),"")</f>
        <v/>
      </c>
      <c r="D115" s="28" t="str">
        <f>IFERROR(INDEX('BASE DE DATOS'!$C$5:$C$152,MATCH(111,'BASE DE DATOS'!$Z$5:$Z$152,0)),"")</f>
        <v/>
      </c>
      <c r="E115" s="28" t="str">
        <f>IFERROR(INDEX('BASE DE DATOS'!$D$5:$D$152,MATCH(111,'BASE DE DATOS'!$Z$5:$Z$152,0)),"")</f>
        <v/>
      </c>
      <c r="F115" s="28" t="str">
        <f>IFERROR(INDEX('BASE DE DATOS'!$E$5:$E$152,MATCH(111,'BASE DE DATOS'!$Z$5:$Z$152,0)),"")</f>
        <v/>
      </c>
      <c r="G115" s="27" t="str">
        <f>IFERROR(INDEX('BASE DE DATOS'!$F$5:$F$152,MATCH(111,'BASE DE DATOS'!$Z$5:$Z$152,0)),"")</f>
        <v/>
      </c>
      <c r="H115" s="29" t="str">
        <f>IFERROR(INDEX('BASE DE DATOS'!$G$5:$G$152,MATCH(111,'BASE DE DATOS'!$Z$5:$Z$152,0)),"")</f>
        <v/>
      </c>
      <c r="I115" s="14" t="str">
        <f>IFERROR(INDEX('BASE DE DATOS'!$P$5:$P$152,MATCH(111,'BASE DE DATOS'!$Z$5:$Z$152,0)),"")</f>
        <v/>
      </c>
      <c r="J115" s="26" t="str">
        <f>IFERROR(INDEX('BASE DE DATOS'!$Q$5:$Q$152,MATCH(111,'BASE DE DATOS'!$Z$5:$Z$152,0)),"")</f>
        <v/>
      </c>
      <c r="K115" s="28" t="str">
        <f>IFERROR(INDEX('BASE DE DATOS'!$R$5:$R$152,MATCH(111,'BASE DE DATOS'!$Z$5:$Z$152,0)),"")</f>
        <v/>
      </c>
      <c r="L115" s="28" t="str">
        <f>IFERROR(INDEX('BASE DE DATOS'!$S$5:$S$152,MATCH(111,'BASE DE DATOS'!$Z$5:$Z$152,0)),"")</f>
        <v/>
      </c>
      <c r="M115" s="28" t="str">
        <f>IFERROR(INDEX('BASE DE DATOS'!$T$5:$T$152,MATCH(111,'BASE DE DATOS'!$Z$5:$Z$152,0)),"")</f>
        <v/>
      </c>
      <c r="N115" s="27" t="str">
        <f>IFERROR(INDEX('BASE DE DATOS'!$W$5:$W$152,MATCH(111,'BASE DE DATOS'!$Z$5:$Z$152,0)),"")</f>
        <v/>
      </c>
      <c r="O115" s="28" t="str">
        <f>IFERROR(INDEX('BASE DE DATOS'!$U$5:$U$152,MATCH(111,'BASE DE DATOS'!$Z$5:$Z$152,0)),"")</f>
        <v/>
      </c>
    </row>
    <row r="116" spans="1:15" x14ac:dyDescent="0.3">
      <c r="A116" s="9">
        <v>112</v>
      </c>
      <c r="B116" s="28" t="str">
        <f>IFERROR(INDEX('BASE DE DATOS'!$A$5:$A$152,MATCH(112,'BASE DE DATOS'!$Z$5:$Z$152,0)),"")</f>
        <v/>
      </c>
      <c r="C116" s="27" t="str">
        <f>IFERROR(INDEX('BASE DE DATOS'!$B$5:$B$152,MATCH(112,'BASE DE DATOS'!$Z$5:$Z$152,0)),"")</f>
        <v/>
      </c>
      <c r="D116" s="28" t="str">
        <f>IFERROR(INDEX('BASE DE DATOS'!$C$5:$C$152,MATCH(112,'BASE DE DATOS'!$Z$5:$Z$152,0)),"")</f>
        <v/>
      </c>
      <c r="E116" s="28" t="str">
        <f>IFERROR(INDEX('BASE DE DATOS'!$D$5:$D$152,MATCH(112,'BASE DE DATOS'!$Z$5:$Z$152,0)),"")</f>
        <v/>
      </c>
      <c r="F116" s="28" t="str">
        <f>IFERROR(INDEX('BASE DE DATOS'!$E$5:$E$152,MATCH(112,'BASE DE DATOS'!$Z$5:$Z$152,0)),"")</f>
        <v/>
      </c>
      <c r="G116" s="27" t="str">
        <f>IFERROR(INDEX('BASE DE DATOS'!$F$5:$F$152,MATCH(112,'BASE DE DATOS'!$Z$5:$Z$152,0)),"")</f>
        <v/>
      </c>
      <c r="H116" s="29" t="str">
        <f>IFERROR(INDEX('BASE DE DATOS'!$G$5:$G$152,MATCH(112,'BASE DE DATOS'!$Z$5:$Z$152,0)),"")</f>
        <v/>
      </c>
      <c r="I116" s="14" t="str">
        <f>IFERROR(INDEX('BASE DE DATOS'!$P$5:$P$152,MATCH(112,'BASE DE DATOS'!$Z$5:$Z$152,0)),"")</f>
        <v/>
      </c>
      <c r="J116" s="26" t="str">
        <f>IFERROR(INDEX('BASE DE DATOS'!$Q$5:$Q$152,MATCH(112,'BASE DE DATOS'!$Z$5:$Z$152,0)),"")</f>
        <v/>
      </c>
      <c r="K116" s="28" t="str">
        <f>IFERROR(INDEX('BASE DE DATOS'!$R$5:$R$152,MATCH(112,'BASE DE DATOS'!$Z$5:$Z$152,0)),"")</f>
        <v/>
      </c>
      <c r="L116" s="28" t="str">
        <f>IFERROR(INDEX('BASE DE DATOS'!$S$5:$S$152,MATCH(112,'BASE DE DATOS'!$Z$5:$Z$152,0)),"")</f>
        <v/>
      </c>
      <c r="M116" s="28" t="str">
        <f>IFERROR(INDEX('BASE DE DATOS'!$T$5:$T$152,MATCH(112,'BASE DE DATOS'!$Z$5:$Z$152,0)),"")</f>
        <v/>
      </c>
      <c r="N116" s="27" t="str">
        <f>IFERROR(INDEX('BASE DE DATOS'!$W$5:$W$152,MATCH(112,'BASE DE DATOS'!$Z$5:$Z$152,0)),"")</f>
        <v/>
      </c>
      <c r="O116" s="28" t="str">
        <f>IFERROR(INDEX('BASE DE DATOS'!$U$5:$U$152,MATCH(112,'BASE DE DATOS'!$Z$5:$Z$152,0)),"")</f>
        <v/>
      </c>
    </row>
    <row r="117" spans="1:15" x14ac:dyDescent="0.3">
      <c r="A117" s="9">
        <v>113</v>
      </c>
      <c r="B117" s="28" t="str">
        <f>IFERROR(INDEX('BASE DE DATOS'!$A$5:$A$152,MATCH(113,'BASE DE DATOS'!$Z$5:$Z$152,0)),"")</f>
        <v/>
      </c>
      <c r="C117" s="27" t="str">
        <f>IFERROR(INDEX('BASE DE DATOS'!$B$5:$B$152,MATCH(113,'BASE DE DATOS'!$Z$5:$Z$152,0)),"")</f>
        <v/>
      </c>
      <c r="D117" s="28" t="str">
        <f>IFERROR(INDEX('BASE DE DATOS'!$C$5:$C$152,MATCH(113,'BASE DE DATOS'!$Z$5:$Z$152,0)),"")</f>
        <v/>
      </c>
      <c r="E117" s="28" t="str">
        <f>IFERROR(INDEX('BASE DE DATOS'!$D$5:$D$152,MATCH(113,'BASE DE DATOS'!$Z$5:$Z$152,0)),"")</f>
        <v/>
      </c>
      <c r="F117" s="28" t="str">
        <f>IFERROR(INDEX('BASE DE DATOS'!$E$5:$E$152,MATCH(113,'BASE DE DATOS'!$Z$5:$Z$152,0)),"")</f>
        <v/>
      </c>
      <c r="G117" s="27" t="str">
        <f>IFERROR(INDEX('BASE DE DATOS'!$F$5:$F$152,MATCH(113,'BASE DE DATOS'!$Z$5:$Z$152,0)),"")</f>
        <v/>
      </c>
      <c r="H117" s="29" t="str">
        <f>IFERROR(INDEX('BASE DE DATOS'!$G$5:$G$152,MATCH(113,'BASE DE DATOS'!$Z$5:$Z$152,0)),"")</f>
        <v/>
      </c>
      <c r="I117" s="14" t="str">
        <f>IFERROR(INDEX('BASE DE DATOS'!$P$5:$P$152,MATCH(113,'BASE DE DATOS'!$Z$5:$Z$152,0)),"")</f>
        <v/>
      </c>
      <c r="J117" s="26" t="str">
        <f>IFERROR(INDEX('BASE DE DATOS'!$Q$5:$Q$152,MATCH(113,'BASE DE DATOS'!$Z$5:$Z$152,0)),"")</f>
        <v/>
      </c>
      <c r="K117" s="28" t="str">
        <f>IFERROR(INDEX('BASE DE DATOS'!$R$5:$R$152,MATCH(113,'BASE DE DATOS'!$Z$5:$Z$152,0)),"")</f>
        <v/>
      </c>
      <c r="L117" s="28" t="str">
        <f>IFERROR(INDEX('BASE DE DATOS'!$S$5:$S$152,MATCH(113,'BASE DE DATOS'!$Z$5:$Z$152,0)),"")</f>
        <v/>
      </c>
      <c r="M117" s="28" t="str">
        <f>IFERROR(INDEX('BASE DE DATOS'!$T$5:$T$152,MATCH(113,'BASE DE DATOS'!$Z$5:$Z$152,0)),"")</f>
        <v/>
      </c>
      <c r="N117" s="27" t="str">
        <f>IFERROR(INDEX('BASE DE DATOS'!$W$5:$W$152,MATCH(113,'BASE DE DATOS'!$Z$5:$Z$152,0)),"")</f>
        <v/>
      </c>
      <c r="O117" s="28" t="str">
        <f>IFERROR(INDEX('BASE DE DATOS'!$U$5:$U$152,MATCH(113,'BASE DE DATOS'!$Z$5:$Z$152,0)),"")</f>
        <v/>
      </c>
    </row>
    <row r="118" spans="1:15" x14ac:dyDescent="0.3">
      <c r="A118" s="9">
        <v>114</v>
      </c>
      <c r="B118" s="28" t="str">
        <f>IFERROR(INDEX('BASE DE DATOS'!$A$5:$A$152,MATCH(114,'BASE DE DATOS'!$Z$5:$Z$152,0)),"")</f>
        <v/>
      </c>
      <c r="C118" s="27" t="str">
        <f>IFERROR(INDEX('BASE DE DATOS'!$B$5:$B$152,MATCH(114,'BASE DE DATOS'!$Z$5:$Z$152,0)),"")</f>
        <v/>
      </c>
      <c r="D118" s="28" t="str">
        <f>IFERROR(INDEX('BASE DE DATOS'!$C$5:$C$152,MATCH(114,'BASE DE DATOS'!$Z$5:$Z$152,0)),"")</f>
        <v/>
      </c>
      <c r="E118" s="28" t="str">
        <f>IFERROR(INDEX('BASE DE DATOS'!$D$5:$D$152,MATCH(114,'BASE DE DATOS'!$Z$5:$Z$152,0)),"")</f>
        <v/>
      </c>
      <c r="F118" s="28" t="str">
        <f>IFERROR(INDEX('BASE DE DATOS'!$E$5:$E$152,MATCH(114,'BASE DE DATOS'!$Z$5:$Z$152,0)),"")</f>
        <v/>
      </c>
      <c r="G118" s="27" t="str">
        <f>IFERROR(INDEX('BASE DE DATOS'!$F$5:$F$152,MATCH(114,'BASE DE DATOS'!$Z$5:$Z$152,0)),"")</f>
        <v/>
      </c>
      <c r="H118" s="29" t="str">
        <f>IFERROR(INDEX('BASE DE DATOS'!$G$5:$G$152,MATCH(114,'BASE DE DATOS'!$Z$5:$Z$152,0)),"")</f>
        <v/>
      </c>
      <c r="I118" s="14" t="str">
        <f>IFERROR(INDEX('BASE DE DATOS'!$P$5:$P$152,MATCH(114,'BASE DE DATOS'!$Z$5:$Z$152,0)),"")</f>
        <v/>
      </c>
      <c r="J118" s="26" t="str">
        <f>IFERROR(INDEX('BASE DE DATOS'!$Q$5:$Q$152,MATCH(114,'BASE DE DATOS'!$Z$5:$Z$152,0)),"")</f>
        <v/>
      </c>
      <c r="K118" s="28" t="str">
        <f>IFERROR(INDEX('BASE DE DATOS'!$R$5:$R$152,MATCH(114,'BASE DE DATOS'!$Z$5:$Z$152,0)),"")</f>
        <v/>
      </c>
      <c r="L118" s="28" t="str">
        <f>IFERROR(INDEX('BASE DE DATOS'!$S$5:$S$152,MATCH(114,'BASE DE DATOS'!$Z$5:$Z$152,0)),"")</f>
        <v/>
      </c>
      <c r="M118" s="28" t="str">
        <f>IFERROR(INDEX('BASE DE DATOS'!$T$5:$T$152,MATCH(114,'BASE DE DATOS'!$Z$5:$Z$152,0)),"")</f>
        <v/>
      </c>
      <c r="N118" s="27" t="str">
        <f>IFERROR(INDEX('BASE DE DATOS'!$W$5:$W$152,MATCH(114,'BASE DE DATOS'!$Z$5:$Z$152,0)),"")</f>
        <v/>
      </c>
      <c r="O118" s="28" t="str">
        <f>IFERROR(INDEX('BASE DE DATOS'!$U$5:$U$152,MATCH(114,'BASE DE DATOS'!$Z$5:$Z$152,0)),"")</f>
        <v/>
      </c>
    </row>
    <row r="119" spans="1:15" x14ac:dyDescent="0.3">
      <c r="A119" s="9">
        <v>115</v>
      </c>
      <c r="B119" s="28" t="str">
        <f>IFERROR(INDEX('BASE DE DATOS'!$A$5:$A$152,MATCH(115,'BASE DE DATOS'!$Z$5:$Z$152,0)),"")</f>
        <v/>
      </c>
      <c r="C119" s="27" t="str">
        <f>IFERROR(INDEX('BASE DE DATOS'!$B$5:$B$152,MATCH(115,'BASE DE DATOS'!$Z$5:$Z$152,0)),"")</f>
        <v/>
      </c>
      <c r="D119" s="28" t="str">
        <f>IFERROR(INDEX('BASE DE DATOS'!$C$5:$C$152,MATCH(115,'BASE DE DATOS'!$Z$5:$Z$152,0)),"")</f>
        <v/>
      </c>
      <c r="E119" s="28" t="str">
        <f>IFERROR(INDEX('BASE DE DATOS'!$D$5:$D$152,MATCH(115,'BASE DE DATOS'!$Z$5:$Z$152,0)),"")</f>
        <v/>
      </c>
      <c r="F119" s="28" t="str">
        <f>IFERROR(INDEX('BASE DE DATOS'!$E$5:$E$152,MATCH(115,'BASE DE DATOS'!$Z$5:$Z$152,0)),"")</f>
        <v/>
      </c>
      <c r="G119" s="27" t="str">
        <f>IFERROR(INDEX('BASE DE DATOS'!$F$5:$F$152,MATCH(115,'BASE DE DATOS'!$Z$5:$Z$152,0)),"")</f>
        <v/>
      </c>
      <c r="H119" s="29" t="str">
        <f>IFERROR(INDEX('BASE DE DATOS'!$G$5:$G$152,MATCH(115,'BASE DE DATOS'!$Z$5:$Z$152,0)),"")</f>
        <v/>
      </c>
      <c r="I119" s="14" t="str">
        <f>IFERROR(INDEX('BASE DE DATOS'!$P$5:$P$152,MATCH(115,'BASE DE DATOS'!$Z$5:$Z$152,0)),"")</f>
        <v/>
      </c>
      <c r="J119" s="26" t="str">
        <f>IFERROR(INDEX('BASE DE DATOS'!$Q$5:$Q$152,MATCH(115,'BASE DE DATOS'!$Z$5:$Z$152,0)),"")</f>
        <v/>
      </c>
      <c r="K119" s="28" t="str">
        <f>IFERROR(INDEX('BASE DE DATOS'!$R$5:$R$152,MATCH(115,'BASE DE DATOS'!$Z$5:$Z$152,0)),"")</f>
        <v/>
      </c>
      <c r="L119" s="28" t="str">
        <f>IFERROR(INDEX('BASE DE DATOS'!$S$5:$S$152,MATCH(115,'BASE DE DATOS'!$Z$5:$Z$152,0)),"")</f>
        <v/>
      </c>
      <c r="M119" s="28" t="str">
        <f>IFERROR(INDEX('BASE DE DATOS'!$T$5:$T$152,MATCH(115,'BASE DE DATOS'!$Z$5:$Z$152,0)),"")</f>
        <v/>
      </c>
      <c r="N119" s="27" t="str">
        <f>IFERROR(INDEX('BASE DE DATOS'!$W$5:$W$152,MATCH(115,'BASE DE DATOS'!$Z$5:$Z$152,0)),"")</f>
        <v/>
      </c>
      <c r="O119" s="28" t="str">
        <f>IFERROR(INDEX('BASE DE DATOS'!$U$5:$U$152,MATCH(115,'BASE DE DATOS'!$Z$5:$Z$152,0)),"")</f>
        <v/>
      </c>
    </row>
    <row r="120" spans="1:15" x14ac:dyDescent="0.3">
      <c r="A120" s="9">
        <v>116</v>
      </c>
      <c r="B120" s="28" t="str">
        <f>IFERROR(INDEX('BASE DE DATOS'!$A$5:$A$152,MATCH(116,'BASE DE DATOS'!$Z$5:$Z$152,0)),"")</f>
        <v/>
      </c>
      <c r="C120" s="27" t="str">
        <f>IFERROR(INDEX('BASE DE DATOS'!$B$5:$B$152,MATCH(116,'BASE DE DATOS'!$Z$5:$Z$152,0)),"")</f>
        <v/>
      </c>
      <c r="D120" s="28" t="str">
        <f>IFERROR(INDEX('BASE DE DATOS'!$C$5:$C$152,MATCH(116,'BASE DE DATOS'!$Z$5:$Z$152,0)),"")</f>
        <v/>
      </c>
      <c r="E120" s="28" t="str">
        <f>IFERROR(INDEX('BASE DE DATOS'!$D$5:$D$152,MATCH(116,'BASE DE DATOS'!$Z$5:$Z$152,0)),"")</f>
        <v/>
      </c>
      <c r="F120" s="28" t="str">
        <f>IFERROR(INDEX('BASE DE DATOS'!$E$5:$E$152,MATCH(116,'BASE DE DATOS'!$Z$5:$Z$152,0)),"")</f>
        <v/>
      </c>
      <c r="G120" s="27" t="str">
        <f>IFERROR(INDEX('BASE DE DATOS'!$F$5:$F$152,MATCH(116,'BASE DE DATOS'!$Z$5:$Z$152,0)),"")</f>
        <v/>
      </c>
      <c r="H120" s="29" t="str">
        <f>IFERROR(INDEX('BASE DE DATOS'!$G$5:$G$152,MATCH(116,'BASE DE DATOS'!$Z$5:$Z$152,0)),"")</f>
        <v/>
      </c>
      <c r="I120" s="14" t="str">
        <f>IFERROR(INDEX('BASE DE DATOS'!$P$5:$P$152,MATCH(116,'BASE DE DATOS'!$Z$5:$Z$152,0)),"")</f>
        <v/>
      </c>
      <c r="J120" s="26" t="str">
        <f>IFERROR(INDEX('BASE DE DATOS'!$Q$5:$Q$152,MATCH(116,'BASE DE DATOS'!$Z$5:$Z$152,0)),"")</f>
        <v/>
      </c>
      <c r="K120" s="28" t="str">
        <f>IFERROR(INDEX('BASE DE DATOS'!$R$5:$R$152,MATCH(116,'BASE DE DATOS'!$Z$5:$Z$152,0)),"")</f>
        <v/>
      </c>
      <c r="L120" s="28" t="str">
        <f>IFERROR(INDEX('BASE DE DATOS'!$S$5:$S$152,MATCH(116,'BASE DE DATOS'!$Z$5:$Z$152,0)),"")</f>
        <v/>
      </c>
      <c r="M120" s="28" t="str">
        <f>IFERROR(INDEX('BASE DE DATOS'!$T$5:$T$152,MATCH(116,'BASE DE DATOS'!$Z$5:$Z$152,0)),"")</f>
        <v/>
      </c>
      <c r="N120" s="27" t="str">
        <f>IFERROR(INDEX('BASE DE DATOS'!$W$5:$W$152,MATCH(116,'BASE DE DATOS'!$Z$5:$Z$152,0)),"")</f>
        <v/>
      </c>
      <c r="O120" s="28" t="str">
        <f>IFERROR(INDEX('BASE DE DATOS'!$U$5:$U$152,MATCH(116,'BASE DE DATOS'!$Z$5:$Z$152,0)),"")</f>
        <v/>
      </c>
    </row>
    <row r="121" spans="1:15" x14ac:dyDescent="0.3">
      <c r="A121" s="9">
        <v>117</v>
      </c>
      <c r="B121" s="28" t="str">
        <f>IFERROR(INDEX('BASE DE DATOS'!$A$5:$A$152,MATCH(117,'BASE DE DATOS'!$Z$5:$Z$152,0)),"")</f>
        <v/>
      </c>
      <c r="C121" s="27" t="str">
        <f>IFERROR(INDEX('BASE DE DATOS'!$B$5:$B$152,MATCH(117,'BASE DE DATOS'!$Z$5:$Z$152,0)),"")</f>
        <v/>
      </c>
      <c r="D121" s="28" t="str">
        <f>IFERROR(INDEX('BASE DE DATOS'!$C$5:$C$152,MATCH(117,'BASE DE DATOS'!$Z$5:$Z$152,0)),"")</f>
        <v/>
      </c>
      <c r="E121" s="28" t="str">
        <f>IFERROR(INDEX('BASE DE DATOS'!$D$5:$D$152,MATCH(117,'BASE DE DATOS'!$Z$5:$Z$152,0)),"")</f>
        <v/>
      </c>
      <c r="F121" s="28" t="str">
        <f>IFERROR(INDEX('BASE DE DATOS'!$E$5:$E$152,MATCH(117,'BASE DE DATOS'!$Z$5:$Z$152,0)),"")</f>
        <v/>
      </c>
      <c r="G121" s="27" t="str">
        <f>IFERROR(INDEX('BASE DE DATOS'!$F$5:$F$152,MATCH(117,'BASE DE DATOS'!$Z$5:$Z$152,0)),"")</f>
        <v/>
      </c>
      <c r="H121" s="29" t="str">
        <f>IFERROR(INDEX('BASE DE DATOS'!$G$5:$G$152,MATCH(117,'BASE DE DATOS'!$Z$5:$Z$152,0)),"")</f>
        <v/>
      </c>
      <c r="I121" s="14" t="str">
        <f>IFERROR(INDEX('BASE DE DATOS'!$P$5:$P$152,MATCH(117,'BASE DE DATOS'!$Z$5:$Z$152,0)),"")</f>
        <v/>
      </c>
      <c r="J121" s="26" t="str">
        <f>IFERROR(INDEX('BASE DE DATOS'!$Q$5:$Q$152,MATCH(117,'BASE DE DATOS'!$Z$5:$Z$152,0)),"")</f>
        <v/>
      </c>
      <c r="K121" s="28" t="str">
        <f>IFERROR(INDEX('BASE DE DATOS'!$R$5:$R$152,MATCH(117,'BASE DE DATOS'!$Z$5:$Z$152,0)),"")</f>
        <v/>
      </c>
      <c r="L121" s="28" t="str">
        <f>IFERROR(INDEX('BASE DE DATOS'!$S$5:$S$152,MATCH(117,'BASE DE DATOS'!$Z$5:$Z$152,0)),"")</f>
        <v/>
      </c>
      <c r="M121" s="28" t="str">
        <f>IFERROR(INDEX('BASE DE DATOS'!$T$5:$T$152,MATCH(117,'BASE DE DATOS'!$Z$5:$Z$152,0)),"")</f>
        <v/>
      </c>
      <c r="N121" s="27" t="str">
        <f>IFERROR(INDEX('BASE DE DATOS'!$W$5:$W$152,MATCH(117,'BASE DE DATOS'!$Z$5:$Z$152,0)),"")</f>
        <v/>
      </c>
      <c r="O121" s="28" t="str">
        <f>IFERROR(INDEX('BASE DE DATOS'!$U$5:$U$152,MATCH(117,'BASE DE DATOS'!$Z$5:$Z$152,0)),"")</f>
        <v/>
      </c>
    </row>
    <row r="122" spans="1:15" x14ac:dyDescent="0.3">
      <c r="A122" s="9">
        <v>118</v>
      </c>
      <c r="B122" s="28" t="str">
        <f>IFERROR(INDEX('BASE DE DATOS'!$A$5:$A$152,MATCH(118,'BASE DE DATOS'!$Z$5:$Z$152,0)),"")</f>
        <v/>
      </c>
      <c r="C122" s="27" t="str">
        <f>IFERROR(INDEX('BASE DE DATOS'!$B$5:$B$152,MATCH(118,'BASE DE DATOS'!$Z$5:$Z$152,0)),"")</f>
        <v/>
      </c>
      <c r="D122" s="28" t="str">
        <f>IFERROR(INDEX('BASE DE DATOS'!$C$5:$C$152,MATCH(118,'BASE DE DATOS'!$Z$5:$Z$152,0)),"")</f>
        <v/>
      </c>
      <c r="E122" s="28" t="str">
        <f>IFERROR(INDEX('BASE DE DATOS'!$D$5:$D$152,MATCH(118,'BASE DE DATOS'!$Z$5:$Z$152,0)),"")</f>
        <v/>
      </c>
      <c r="F122" s="28" t="str">
        <f>IFERROR(INDEX('BASE DE DATOS'!$E$5:$E$152,MATCH(118,'BASE DE DATOS'!$Z$5:$Z$152,0)),"")</f>
        <v/>
      </c>
      <c r="G122" s="27" t="str">
        <f>IFERROR(INDEX('BASE DE DATOS'!$F$5:$F$152,MATCH(118,'BASE DE DATOS'!$Z$5:$Z$152,0)),"")</f>
        <v/>
      </c>
      <c r="H122" s="29" t="str">
        <f>IFERROR(INDEX('BASE DE DATOS'!$G$5:$G$152,MATCH(118,'BASE DE DATOS'!$Z$5:$Z$152,0)),"")</f>
        <v/>
      </c>
      <c r="I122" s="14" t="str">
        <f>IFERROR(INDEX('BASE DE DATOS'!$P$5:$P$152,MATCH(118,'BASE DE DATOS'!$Z$5:$Z$152,0)),"")</f>
        <v/>
      </c>
      <c r="J122" s="26" t="str">
        <f>IFERROR(INDEX('BASE DE DATOS'!$Q$5:$Q$152,MATCH(118,'BASE DE DATOS'!$Z$5:$Z$152,0)),"")</f>
        <v/>
      </c>
      <c r="K122" s="28" t="str">
        <f>IFERROR(INDEX('BASE DE DATOS'!$R$5:$R$152,MATCH(118,'BASE DE DATOS'!$Z$5:$Z$152,0)),"")</f>
        <v/>
      </c>
      <c r="L122" s="28" t="str">
        <f>IFERROR(INDEX('BASE DE DATOS'!$S$5:$S$152,MATCH(118,'BASE DE DATOS'!$Z$5:$Z$152,0)),"")</f>
        <v/>
      </c>
      <c r="M122" s="28" t="str">
        <f>IFERROR(INDEX('BASE DE DATOS'!$T$5:$T$152,MATCH(118,'BASE DE DATOS'!$Z$5:$Z$152,0)),"")</f>
        <v/>
      </c>
      <c r="N122" s="27" t="str">
        <f>IFERROR(INDEX('BASE DE DATOS'!$W$5:$W$152,MATCH(118,'BASE DE DATOS'!$Z$5:$Z$152,0)),"")</f>
        <v/>
      </c>
      <c r="O122" s="28" t="str">
        <f>IFERROR(INDEX('BASE DE DATOS'!$U$5:$U$152,MATCH(118,'BASE DE DATOS'!$Z$5:$Z$152,0)),"")</f>
        <v/>
      </c>
    </row>
    <row r="123" spans="1:15" x14ac:dyDescent="0.3">
      <c r="A123" s="9">
        <v>119</v>
      </c>
      <c r="B123" s="28" t="str">
        <f>IFERROR(INDEX('BASE DE DATOS'!$A$5:$A$152,MATCH(119,'BASE DE DATOS'!$Z$5:$Z$152,0)),"")</f>
        <v/>
      </c>
      <c r="C123" s="27" t="str">
        <f>IFERROR(INDEX('BASE DE DATOS'!$B$5:$B$152,MATCH(119,'BASE DE DATOS'!$Z$5:$Z$152,0)),"")</f>
        <v/>
      </c>
      <c r="D123" s="28" t="str">
        <f>IFERROR(INDEX('BASE DE DATOS'!$C$5:$C$152,MATCH(119,'BASE DE DATOS'!$Z$5:$Z$152,0)),"")</f>
        <v/>
      </c>
      <c r="E123" s="28" t="str">
        <f>IFERROR(INDEX('BASE DE DATOS'!$D$5:$D$152,MATCH(119,'BASE DE DATOS'!$Z$5:$Z$152,0)),"")</f>
        <v/>
      </c>
      <c r="F123" s="28" t="str">
        <f>IFERROR(INDEX('BASE DE DATOS'!$E$5:$E$152,MATCH(119,'BASE DE DATOS'!$Z$5:$Z$152,0)),"")</f>
        <v/>
      </c>
      <c r="G123" s="27" t="str">
        <f>IFERROR(INDEX('BASE DE DATOS'!$F$5:$F$152,MATCH(119,'BASE DE DATOS'!$Z$5:$Z$152,0)),"")</f>
        <v/>
      </c>
      <c r="H123" s="29" t="str">
        <f>IFERROR(INDEX('BASE DE DATOS'!$G$5:$G$152,MATCH(119,'BASE DE DATOS'!$Z$5:$Z$152,0)),"")</f>
        <v/>
      </c>
      <c r="I123" s="14" t="str">
        <f>IFERROR(INDEX('BASE DE DATOS'!$P$5:$P$152,MATCH(119,'BASE DE DATOS'!$Z$5:$Z$152,0)),"")</f>
        <v/>
      </c>
      <c r="J123" s="26" t="str">
        <f>IFERROR(INDEX('BASE DE DATOS'!$Q$5:$Q$152,MATCH(119,'BASE DE DATOS'!$Z$5:$Z$152,0)),"")</f>
        <v/>
      </c>
      <c r="K123" s="28" t="str">
        <f>IFERROR(INDEX('BASE DE DATOS'!$R$5:$R$152,MATCH(119,'BASE DE DATOS'!$Z$5:$Z$152,0)),"")</f>
        <v/>
      </c>
      <c r="L123" s="28" t="str">
        <f>IFERROR(INDEX('BASE DE DATOS'!$S$5:$S$152,MATCH(119,'BASE DE DATOS'!$Z$5:$Z$152,0)),"")</f>
        <v/>
      </c>
      <c r="M123" s="28" t="str">
        <f>IFERROR(INDEX('BASE DE DATOS'!$T$5:$T$152,MATCH(119,'BASE DE DATOS'!$Z$5:$Z$152,0)),"")</f>
        <v/>
      </c>
      <c r="N123" s="27" t="str">
        <f>IFERROR(INDEX('BASE DE DATOS'!$W$5:$W$152,MATCH(119,'BASE DE DATOS'!$Z$5:$Z$152,0)),"")</f>
        <v/>
      </c>
      <c r="O123" s="28" t="str">
        <f>IFERROR(INDEX('BASE DE DATOS'!$U$5:$U$152,MATCH(119,'BASE DE DATOS'!$Z$5:$Z$152,0)),"")</f>
        <v/>
      </c>
    </row>
    <row r="124" spans="1:15" x14ac:dyDescent="0.3">
      <c r="A124" s="9">
        <v>120</v>
      </c>
      <c r="B124" s="28" t="str">
        <f>IFERROR(INDEX('BASE DE DATOS'!$A$5:$A$152,MATCH(120,'BASE DE DATOS'!$Z$5:$Z$152,0)),"")</f>
        <v/>
      </c>
      <c r="C124" s="27" t="str">
        <f>IFERROR(INDEX('BASE DE DATOS'!$B$5:$B$152,MATCH(120,'BASE DE DATOS'!$Z$5:$Z$152,0)),"")</f>
        <v/>
      </c>
      <c r="D124" s="28" t="str">
        <f>IFERROR(INDEX('BASE DE DATOS'!$C$5:$C$152,MATCH(120,'BASE DE DATOS'!$Z$5:$Z$152,0)),"")</f>
        <v/>
      </c>
      <c r="E124" s="28" t="str">
        <f>IFERROR(INDEX('BASE DE DATOS'!$D$5:$D$152,MATCH(120,'BASE DE DATOS'!$Z$5:$Z$152,0)),"")</f>
        <v/>
      </c>
      <c r="F124" s="28" t="str">
        <f>IFERROR(INDEX('BASE DE DATOS'!$E$5:$E$152,MATCH(120,'BASE DE DATOS'!$Z$5:$Z$152,0)),"")</f>
        <v/>
      </c>
      <c r="G124" s="27" t="str">
        <f>IFERROR(INDEX('BASE DE DATOS'!$F$5:$F$152,MATCH(120,'BASE DE DATOS'!$Z$5:$Z$152,0)),"")</f>
        <v/>
      </c>
      <c r="H124" s="29" t="str">
        <f>IFERROR(INDEX('BASE DE DATOS'!$G$5:$G$152,MATCH(120,'BASE DE DATOS'!$Z$5:$Z$152,0)),"")</f>
        <v/>
      </c>
      <c r="I124" s="14" t="str">
        <f>IFERROR(INDEX('BASE DE DATOS'!$P$5:$P$152,MATCH(120,'BASE DE DATOS'!$Z$5:$Z$152,0)),"")</f>
        <v/>
      </c>
      <c r="J124" s="26" t="str">
        <f>IFERROR(INDEX('BASE DE DATOS'!$Q$5:$Q$152,MATCH(120,'BASE DE DATOS'!$Z$5:$Z$152,0)),"")</f>
        <v/>
      </c>
      <c r="K124" s="28" t="str">
        <f>IFERROR(INDEX('BASE DE DATOS'!$R$5:$R$152,MATCH(120,'BASE DE DATOS'!$Z$5:$Z$152,0)),"")</f>
        <v/>
      </c>
      <c r="L124" s="28" t="str">
        <f>IFERROR(INDEX('BASE DE DATOS'!$S$5:$S$152,MATCH(120,'BASE DE DATOS'!$Z$5:$Z$152,0)),"")</f>
        <v/>
      </c>
      <c r="M124" s="28" t="str">
        <f>IFERROR(INDEX('BASE DE DATOS'!$T$5:$T$152,MATCH(120,'BASE DE DATOS'!$Z$5:$Z$152,0)),"")</f>
        <v/>
      </c>
      <c r="N124" s="27" t="str">
        <f>IFERROR(INDEX('BASE DE DATOS'!$W$5:$W$152,MATCH(120,'BASE DE DATOS'!$Z$5:$Z$152,0)),"")</f>
        <v/>
      </c>
      <c r="O124" s="28" t="str">
        <f>IFERROR(INDEX('BASE DE DATOS'!$U$5:$U$152,MATCH(120,'BASE DE DATOS'!$Z$5:$Z$152,0)),"")</f>
        <v/>
      </c>
    </row>
    <row r="125" spans="1:15" x14ac:dyDescent="0.3">
      <c r="A125" s="9">
        <v>121</v>
      </c>
      <c r="B125" s="28" t="str">
        <f>IFERROR(INDEX('BASE DE DATOS'!$A$5:$A$152,MATCH(121,'BASE DE DATOS'!$Z$5:$Z$152,0)),"")</f>
        <v/>
      </c>
      <c r="C125" s="27" t="str">
        <f>IFERROR(INDEX('BASE DE DATOS'!$B$5:$B$152,MATCH(121,'BASE DE DATOS'!$Z$5:$Z$152,0)),"")</f>
        <v/>
      </c>
      <c r="D125" s="28" t="str">
        <f>IFERROR(INDEX('BASE DE DATOS'!$C$5:$C$152,MATCH(121,'BASE DE DATOS'!$Z$5:$Z$152,0)),"")</f>
        <v/>
      </c>
      <c r="E125" s="28" t="str">
        <f>IFERROR(INDEX('BASE DE DATOS'!$D$5:$D$152,MATCH(121,'BASE DE DATOS'!$Z$5:$Z$152,0)),"")</f>
        <v/>
      </c>
      <c r="F125" s="28" t="str">
        <f>IFERROR(INDEX('BASE DE DATOS'!$E$5:$E$152,MATCH(121,'BASE DE DATOS'!$Z$5:$Z$152,0)),"")</f>
        <v/>
      </c>
      <c r="G125" s="27" t="str">
        <f>IFERROR(INDEX('BASE DE DATOS'!$F$5:$F$152,MATCH(121,'BASE DE DATOS'!$Z$5:$Z$152,0)),"")</f>
        <v/>
      </c>
      <c r="H125" s="29" t="str">
        <f>IFERROR(INDEX('BASE DE DATOS'!$G$5:$G$152,MATCH(121,'BASE DE DATOS'!$Z$5:$Z$152,0)),"")</f>
        <v/>
      </c>
      <c r="I125" s="14" t="str">
        <f>IFERROR(INDEX('BASE DE DATOS'!$P$5:$P$152,MATCH(121,'BASE DE DATOS'!$Z$5:$Z$152,0)),"")</f>
        <v/>
      </c>
      <c r="J125" s="26" t="str">
        <f>IFERROR(INDEX('BASE DE DATOS'!$Q$5:$Q$152,MATCH(121,'BASE DE DATOS'!$Z$5:$Z$152,0)),"")</f>
        <v/>
      </c>
      <c r="K125" s="28" t="str">
        <f>IFERROR(INDEX('BASE DE DATOS'!$R$5:$R$152,MATCH(121,'BASE DE DATOS'!$Z$5:$Z$152,0)),"")</f>
        <v/>
      </c>
      <c r="L125" s="28" t="str">
        <f>IFERROR(INDEX('BASE DE DATOS'!$S$5:$S$152,MATCH(121,'BASE DE DATOS'!$Z$5:$Z$152,0)),"")</f>
        <v/>
      </c>
      <c r="M125" s="28" t="str">
        <f>IFERROR(INDEX('BASE DE DATOS'!$T$5:$T$152,MATCH(121,'BASE DE DATOS'!$Z$5:$Z$152,0)),"")</f>
        <v/>
      </c>
      <c r="N125" s="27" t="str">
        <f>IFERROR(INDEX('BASE DE DATOS'!$W$5:$W$152,MATCH(121,'BASE DE DATOS'!$Z$5:$Z$152,0)),"")</f>
        <v/>
      </c>
      <c r="O125" s="28" t="str">
        <f>IFERROR(INDEX('BASE DE DATOS'!$U$5:$U$152,MATCH(121,'BASE DE DATOS'!$Z$5:$Z$152,0)),"")</f>
        <v/>
      </c>
    </row>
    <row r="126" spans="1:15" x14ac:dyDescent="0.3">
      <c r="A126" s="9">
        <v>122</v>
      </c>
      <c r="B126" s="28" t="str">
        <f>IFERROR(INDEX('BASE DE DATOS'!$A$5:$A$152,MATCH(122,'BASE DE DATOS'!$Z$5:$Z$152,0)),"")</f>
        <v/>
      </c>
      <c r="C126" s="27" t="str">
        <f>IFERROR(INDEX('BASE DE DATOS'!$B$5:$B$152,MATCH(122,'BASE DE DATOS'!$Z$5:$Z$152,0)),"")</f>
        <v/>
      </c>
      <c r="D126" s="28" t="str">
        <f>IFERROR(INDEX('BASE DE DATOS'!$C$5:$C$152,MATCH(122,'BASE DE DATOS'!$Z$5:$Z$152,0)),"")</f>
        <v/>
      </c>
      <c r="E126" s="28" t="str">
        <f>IFERROR(INDEX('BASE DE DATOS'!$D$5:$D$152,MATCH(122,'BASE DE DATOS'!$Z$5:$Z$152,0)),"")</f>
        <v/>
      </c>
      <c r="F126" s="28" t="str">
        <f>IFERROR(INDEX('BASE DE DATOS'!$E$5:$E$152,MATCH(122,'BASE DE DATOS'!$Z$5:$Z$152,0)),"")</f>
        <v/>
      </c>
      <c r="G126" s="27" t="str">
        <f>IFERROR(INDEX('BASE DE DATOS'!$F$5:$F$152,MATCH(122,'BASE DE DATOS'!$Z$5:$Z$152,0)),"")</f>
        <v/>
      </c>
      <c r="H126" s="29" t="str">
        <f>IFERROR(INDEX('BASE DE DATOS'!$G$5:$G$152,MATCH(122,'BASE DE DATOS'!$Z$5:$Z$152,0)),"")</f>
        <v/>
      </c>
      <c r="I126" s="14" t="str">
        <f>IFERROR(INDEX('BASE DE DATOS'!$P$5:$P$152,MATCH(122,'BASE DE DATOS'!$Z$5:$Z$152,0)),"")</f>
        <v/>
      </c>
      <c r="J126" s="26" t="str">
        <f>IFERROR(INDEX('BASE DE DATOS'!$Q$5:$Q$152,MATCH(122,'BASE DE DATOS'!$Z$5:$Z$152,0)),"")</f>
        <v/>
      </c>
      <c r="K126" s="28" t="str">
        <f>IFERROR(INDEX('BASE DE DATOS'!$R$5:$R$152,MATCH(122,'BASE DE DATOS'!$Z$5:$Z$152,0)),"")</f>
        <v/>
      </c>
      <c r="L126" s="28" t="str">
        <f>IFERROR(INDEX('BASE DE DATOS'!$S$5:$S$152,MATCH(122,'BASE DE DATOS'!$Z$5:$Z$152,0)),"")</f>
        <v/>
      </c>
      <c r="M126" s="28" t="str">
        <f>IFERROR(INDEX('BASE DE DATOS'!$T$5:$T$152,MATCH(122,'BASE DE DATOS'!$Z$5:$Z$152,0)),"")</f>
        <v/>
      </c>
      <c r="N126" s="27" t="str">
        <f>IFERROR(INDEX('BASE DE DATOS'!$W$5:$W$152,MATCH(122,'BASE DE DATOS'!$Z$5:$Z$152,0)),"")</f>
        <v/>
      </c>
      <c r="O126" s="28" t="str">
        <f>IFERROR(INDEX('BASE DE DATOS'!$U$5:$U$152,MATCH(122,'BASE DE DATOS'!$Z$5:$Z$152,0)),"")</f>
        <v/>
      </c>
    </row>
    <row r="127" spans="1:15" x14ac:dyDescent="0.3">
      <c r="A127" s="9">
        <v>123</v>
      </c>
      <c r="B127" s="28" t="str">
        <f>IFERROR(INDEX('BASE DE DATOS'!$A$5:$A$152,MATCH(123,'BASE DE DATOS'!$Z$5:$Z$152,0)),"")</f>
        <v/>
      </c>
      <c r="C127" s="27" t="str">
        <f>IFERROR(INDEX('BASE DE DATOS'!$B$5:$B$152,MATCH(123,'BASE DE DATOS'!$Z$5:$Z$152,0)),"")</f>
        <v/>
      </c>
      <c r="D127" s="28" t="str">
        <f>IFERROR(INDEX('BASE DE DATOS'!$C$5:$C$152,MATCH(123,'BASE DE DATOS'!$Z$5:$Z$152,0)),"")</f>
        <v/>
      </c>
      <c r="E127" s="28" t="str">
        <f>IFERROR(INDEX('BASE DE DATOS'!$D$5:$D$152,MATCH(123,'BASE DE DATOS'!$Z$5:$Z$152,0)),"")</f>
        <v/>
      </c>
      <c r="F127" s="28" t="str">
        <f>IFERROR(INDEX('BASE DE DATOS'!$E$5:$E$152,MATCH(123,'BASE DE DATOS'!$Z$5:$Z$152,0)),"")</f>
        <v/>
      </c>
      <c r="G127" s="27" t="str">
        <f>IFERROR(INDEX('BASE DE DATOS'!$F$5:$F$152,MATCH(123,'BASE DE DATOS'!$Z$5:$Z$152,0)),"")</f>
        <v/>
      </c>
      <c r="H127" s="29" t="str">
        <f>IFERROR(INDEX('BASE DE DATOS'!$G$5:$G$152,MATCH(123,'BASE DE DATOS'!$Z$5:$Z$152,0)),"")</f>
        <v/>
      </c>
      <c r="I127" s="14" t="str">
        <f>IFERROR(INDEX('BASE DE DATOS'!$P$5:$P$152,MATCH(123,'BASE DE DATOS'!$Z$5:$Z$152,0)),"")</f>
        <v/>
      </c>
      <c r="J127" s="26" t="str">
        <f>IFERROR(INDEX('BASE DE DATOS'!$Q$5:$Q$152,MATCH(123,'BASE DE DATOS'!$Z$5:$Z$152,0)),"")</f>
        <v/>
      </c>
      <c r="K127" s="28" t="str">
        <f>IFERROR(INDEX('BASE DE DATOS'!$R$5:$R$152,MATCH(123,'BASE DE DATOS'!$Z$5:$Z$152,0)),"")</f>
        <v/>
      </c>
      <c r="L127" s="28" t="str">
        <f>IFERROR(INDEX('BASE DE DATOS'!$S$5:$S$152,MATCH(123,'BASE DE DATOS'!$Z$5:$Z$152,0)),"")</f>
        <v/>
      </c>
      <c r="M127" s="28" t="str">
        <f>IFERROR(INDEX('BASE DE DATOS'!$T$5:$T$152,MATCH(123,'BASE DE DATOS'!$Z$5:$Z$152,0)),"")</f>
        <v/>
      </c>
      <c r="N127" s="27" t="str">
        <f>IFERROR(INDEX('BASE DE DATOS'!$W$5:$W$152,MATCH(123,'BASE DE DATOS'!$Z$5:$Z$152,0)),"")</f>
        <v/>
      </c>
      <c r="O127" s="28" t="str">
        <f>IFERROR(INDEX('BASE DE DATOS'!$U$5:$U$152,MATCH(123,'BASE DE DATOS'!$Z$5:$Z$152,0)),"")</f>
        <v/>
      </c>
    </row>
    <row r="128" spans="1:15" x14ac:dyDescent="0.3">
      <c r="A128" s="9">
        <v>124</v>
      </c>
      <c r="B128" s="28" t="str">
        <f>IFERROR(INDEX('BASE DE DATOS'!$A$5:$A$152,MATCH(124,'BASE DE DATOS'!$Z$5:$Z$152,0)),"")</f>
        <v/>
      </c>
      <c r="C128" s="27" t="str">
        <f>IFERROR(INDEX('BASE DE DATOS'!$B$5:$B$152,MATCH(124,'BASE DE DATOS'!$Z$5:$Z$152,0)),"")</f>
        <v/>
      </c>
      <c r="D128" s="28" t="str">
        <f>IFERROR(INDEX('BASE DE DATOS'!$C$5:$C$152,MATCH(124,'BASE DE DATOS'!$Z$5:$Z$152,0)),"")</f>
        <v/>
      </c>
      <c r="E128" s="28" t="str">
        <f>IFERROR(INDEX('BASE DE DATOS'!$D$5:$D$152,MATCH(124,'BASE DE DATOS'!$Z$5:$Z$152,0)),"")</f>
        <v/>
      </c>
      <c r="F128" s="28" t="str">
        <f>IFERROR(INDEX('BASE DE DATOS'!$E$5:$E$152,MATCH(124,'BASE DE DATOS'!$Z$5:$Z$152,0)),"")</f>
        <v/>
      </c>
      <c r="G128" s="27" t="str">
        <f>IFERROR(INDEX('BASE DE DATOS'!$F$5:$F$152,MATCH(124,'BASE DE DATOS'!$Z$5:$Z$152,0)),"")</f>
        <v/>
      </c>
      <c r="H128" s="29" t="str">
        <f>IFERROR(INDEX('BASE DE DATOS'!$G$5:$G$152,MATCH(124,'BASE DE DATOS'!$Z$5:$Z$152,0)),"")</f>
        <v/>
      </c>
      <c r="I128" s="14" t="str">
        <f>IFERROR(INDEX('BASE DE DATOS'!$P$5:$P$152,MATCH(124,'BASE DE DATOS'!$Z$5:$Z$152,0)),"")</f>
        <v/>
      </c>
      <c r="J128" s="26" t="str">
        <f>IFERROR(INDEX('BASE DE DATOS'!$Q$5:$Q$152,MATCH(124,'BASE DE DATOS'!$Z$5:$Z$152,0)),"")</f>
        <v/>
      </c>
      <c r="K128" s="28" t="str">
        <f>IFERROR(INDEX('BASE DE DATOS'!$R$5:$R$152,MATCH(124,'BASE DE DATOS'!$Z$5:$Z$152,0)),"")</f>
        <v/>
      </c>
      <c r="L128" s="28" t="str">
        <f>IFERROR(INDEX('BASE DE DATOS'!$S$5:$S$152,MATCH(124,'BASE DE DATOS'!$Z$5:$Z$152,0)),"")</f>
        <v/>
      </c>
      <c r="M128" s="28" t="str">
        <f>IFERROR(INDEX('BASE DE DATOS'!$T$5:$T$152,MATCH(124,'BASE DE DATOS'!$Z$5:$Z$152,0)),"")</f>
        <v/>
      </c>
      <c r="N128" s="27" t="str">
        <f>IFERROR(INDEX('BASE DE DATOS'!$W$5:$W$152,MATCH(124,'BASE DE DATOS'!$Z$5:$Z$152,0)),"")</f>
        <v/>
      </c>
      <c r="O128" s="28" t="str">
        <f>IFERROR(INDEX('BASE DE DATOS'!$U$5:$U$152,MATCH(124,'BASE DE DATOS'!$Z$5:$Z$152,0)),"")</f>
        <v/>
      </c>
    </row>
    <row r="129" spans="1:15" x14ac:dyDescent="0.3">
      <c r="A129" s="9">
        <v>125</v>
      </c>
      <c r="B129" s="28" t="str">
        <f>IFERROR(INDEX('BASE DE DATOS'!$A$5:$A$152,MATCH(125,'BASE DE DATOS'!$Z$5:$Z$152,0)),"")</f>
        <v/>
      </c>
      <c r="C129" s="27" t="str">
        <f>IFERROR(INDEX('BASE DE DATOS'!$B$5:$B$152,MATCH(125,'BASE DE DATOS'!$Z$5:$Z$152,0)),"")</f>
        <v/>
      </c>
      <c r="D129" s="28" t="str">
        <f>IFERROR(INDEX('BASE DE DATOS'!$C$5:$C$152,MATCH(125,'BASE DE DATOS'!$Z$5:$Z$152,0)),"")</f>
        <v/>
      </c>
      <c r="E129" s="28" t="str">
        <f>IFERROR(INDEX('BASE DE DATOS'!$D$5:$D$152,MATCH(125,'BASE DE DATOS'!$Z$5:$Z$152,0)),"")</f>
        <v/>
      </c>
      <c r="F129" s="28" t="str">
        <f>IFERROR(INDEX('BASE DE DATOS'!$E$5:$E$152,MATCH(125,'BASE DE DATOS'!$Z$5:$Z$152,0)),"")</f>
        <v/>
      </c>
      <c r="G129" s="27" t="str">
        <f>IFERROR(INDEX('BASE DE DATOS'!$F$5:$F$152,MATCH(125,'BASE DE DATOS'!$Z$5:$Z$152,0)),"")</f>
        <v/>
      </c>
      <c r="H129" s="29" t="str">
        <f>IFERROR(INDEX('BASE DE DATOS'!$G$5:$G$152,MATCH(125,'BASE DE DATOS'!$Z$5:$Z$152,0)),"")</f>
        <v/>
      </c>
      <c r="I129" s="14" t="str">
        <f>IFERROR(INDEX('BASE DE DATOS'!$P$5:$P$152,MATCH(125,'BASE DE DATOS'!$Z$5:$Z$152,0)),"")</f>
        <v/>
      </c>
      <c r="J129" s="26" t="str">
        <f>IFERROR(INDEX('BASE DE DATOS'!$Q$5:$Q$152,MATCH(125,'BASE DE DATOS'!$Z$5:$Z$152,0)),"")</f>
        <v/>
      </c>
      <c r="K129" s="28" t="str">
        <f>IFERROR(INDEX('BASE DE DATOS'!$R$5:$R$152,MATCH(125,'BASE DE DATOS'!$Z$5:$Z$152,0)),"")</f>
        <v/>
      </c>
      <c r="L129" s="28" t="str">
        <f>IFERROR(INDEX('BASE DE DATOS'!$S$5:$S$152,MATCH(125,'BASE DE DATOS'!$Z$5:$Z$152,0)),"")</f>
        <v/>
      </c>
      <c r="M129" s="28" t="str">
        <f>IFERROR(INDEX('BASE DE DATOS'!$T$5:$T$152,MATCH(125,'BASE DE DATOS'!$Z$5:$Z$152,0)),"")</f>
        <v/>
      </c>
      <c r="N129" s="27" t="str">
        <f>IFERROR(INDEX('BASE DE DATOS'!$W$5:$W$152,MATCH(125,'BASE DE DATOS'!$Z$5:$Z$152,0)),"")</f>
        <v/>
      </c>
      <c r="O129" s="28" t="str">
        <f>IFERROR(INDEX('BASE DE DATOS'!$U$5:$U$152,MATCH(125,'BASE DE DATOS'!$Z$5:$Z$152,0)),"")</f>
        <v/>
      </c>
    </row>
    <row r="130" spans="1:15" x14ac:dyDescent="0.3">
      <c r="A130" s="9">
        <v>126</v>
      </c>
      <c r="B130" s="28" t="str">
        <f>IFERROR(INDEX('BASE DE DATOS'!$A$5:$A$152,MATCH(126,'BASE DE DATOS'!$Z$5:$Z$152,0)),"")</f>
        <v/>
      </c>
      <c r="C130" s="27" t="str">
        <f>IFERROR(INDEX('BASE DE DATOS'!$B$5:$B$152,MATCH(126,'BASE DE DATOS'!$Z$5:$Z$152,0)),"")</f>
        <v/>
      </c>
      <c r="D130" s="28" t="str">
        <f>IFERROR(INDEX('BASE DE DATOS'!$C$5:$C$152,MATCH(126,'BASE DE DATOS'!$Z$5:$Z$152,0)),"")</f>
        <v/>
      </c>
      <c r="E130" s="28" t="str">
        <f>IFERROR(INDEX('BASE DE DATOS'!$D$5:$D$152,MATCH(126,'BASE DE DATOS'!$Z$5:$Z$152,0)),"")</f>
        <v/>
      </c>
      <c r="F130" s="28" t="str">
        <f>IFERROR(INDEX('BASE DE DATOS'!$E$5:$E$152,MATCH(126,'BASE DE DATOS'!$Z$5:$Z$152,0)),"")</f>
        <v/>
      </c>
      <c r="G130" s="27" t="str">
        <f>IFERROR(INDEX('BASE DE DATOS'!$F$5:$F$152,MATCH(126,'BASE DE DATOS'!$Z$5:$Z$152,0)),"")</f>
        <v/>
      </c>
      <c r="H130" s="29" t="str">
        <f>IFERROR(INDEX('BASE DE DATOS'!$G$5:$G$152,MATCH(126,'BASE DE DATOS'!$Z$5:$Z$152,0)),"")</f>
        <v/>
      </c>
      <c r="I130" s="14" t="str">
        <f>IFERROR(INDEX('BASE DE DATOS'!$P$5:$P$152,MATCH(126,'BASE DE DATOS'!$Z$5:$Z$152,0)),"")</f>
        <v/>
      </c>
      <c r="J130" s="26" t="str">
        <f>IFERROR(INDEX('BASE DE DATOS'!$Q$5:$Q$152,MATCH(126,'BASE DE DATOS'!$Z$5:$Z$152,0)),"")</f>
        <v/>
      </c>
      <c r="K130" s="28" t="str">
        <f>IFERROR(INDEX('BASE DE DATOS'!$R$5:$R$152,MATCH(126,'BASE DE DATOS'!$Z$5:$Z$152,0)),"")</f>
        <v/>
      </c>
      <c r="L130" s="28" t="str">
        <f>IFERROR(INDEX('BASE DE DATOS'!$S$5:$S$152,MATCH(126,'BASE DE DATOS'!$Z$5:$Z$152,0)),"")</f>
        <v/>
      </c>
      <c r="M130" s="28" t="str">
        <f>IFERROR(INDEX('BASE DE DATOS'!$T$5:$T$152,MATCH(126,'BASE DE DATOS'!$Z$5:$Z$152,0)),"")</f>
        <v/>
      </c>
      <c r="N130" s="27" t="str">
        <f>IFERROR(INDEX('BASE DE DATOS'!$W$5:$W$152,MATCH(126,'BASE DE DATOS'!$Z$5:$Z$152,0)),"")</f>
        <v/>
      </c>
      <c r="O130" s="28" t="str">
        <f>IFERROR(INDEX('BASE DE DATOS'!$U$5:$U$152,MATCH(126,'BASE DE DATOS'!$Z$5:$Z$152,0)),"")</f>
        <v/>
      </c>
    </row>
    <row r="131" spans="1:15" x14ac:dyDescent="0.3">
      <c r="A131" s="9">
        <v>127</v>
      </c>
      <c r="B131" s="28" t="str">
        <f>IFERROR(INDEX('BASE DE DATOS'!$A$5:$A$152,MATCH(127,'BASE DE DATOS'!$Z$5:$Z$152,0)),"")</f>
        <v/>
      </c>
      <c r="C131" s="27" t="str">
        <f>IFERROR(INDEX('BASE DE DATOS'!$B$5:$B$152,MATCH(127,'BASE DE DATOS'!$Z$5:$Z$152,0)),"")</f>
        <v/>
      </c>
      <c r="D131" s="28" t="str">
        <f>IFERROR(INDEX('BASE DE DATOS'!$C$5:$C$152,MATCH(127,'BASE DE DATOS'!$Z$5:$Z$152,0)),"")</f>
        <v/>
      </c>
      <c r="E131" s="28" t="str">
        <f>IFERROR(INDEX('BASE DE DATOS'!$D$5:$D$152,MATCH(127,'BASE DE DATOS'!$Z$5:$Z$152,0)),"")</f>
        <v/>
      </c>
      <c r="F131" s="28" t="str">
        <f>IFERROR(INDEX('BASE DE DATOS'!$E$5:$E$152,MATCH(127,'BASE DE DATOS'!$Z$5:$Z$152,0)),"")</f>
        <v/>
      </c>
      <c r="G131" s="27" t="str">
        <f>IFERROR(INDEX('BASE DE DATOS'!$F$5:$F$152,MATCH(127,'BASE DE DATOS'!$Z$5:$Z$152,0)),"")</f>
        <v/>
      </c>
      <c r="H131" s="29" t="str">
        <f>IFERROR(INDEX('BASE DE DATOS'!$G$5:$G$152,MATCH(127,'BASE DE DATOS'!$Z$5:$Z$152,0)),"")</f>
        <v/>
      </c>
      <c r="I131" s="14" t="str">
        <f>IFERROR(INDEX('BASE DE DATOS'!$P$5:$P$152,MATCH(127,'BASE DE DATOS'!$Z$5:$Z$152,0)),"")</f>
        <v/>
      </c>
      <c r="J131" s="26" t="str">
        <f>IFERROR(INDEX('BASE DE DATOS'!$Q$5:$Q$152,MATCH(127,'BASE DE DATOS'!$Z$5:$Z$152,0)),"")</f>
        <v/>
      </c>
      <c r="K131" s="28" t="str">
        <f>IFERROR(INDEX('BASE DE DATOS'!$R$5:$R$152,MATCH(127,'BASE DE DATOS'!$Z$5:$Z$152,0)),"")</f>
        <v/>
      </c>
      <c r="L131" s="28" t="str">
        <f>IFERROR(INDEX('BASE DE DATOS'!$S$5:$S$152,MATCH(127,'BASE DE DATOS'!$Z$5:$Z$152,0)),"")</f>
        <v/>
      </c>
      <c r="M131" s="28" t="str">
        <f>IFERROR(INDEX('BASE DE DATOS'!$T$5:$T$152,MATCH(127,'BASE DE DATOS'!$Z$5:$Z$152,0)),"")</f>
        <v/>
      </c>
      <c r="N131" s="27" t="str">
        <f>IFERROR(INDEX('BASE DE DATOS'!$W$5:$W$152,MATCH(127,'BASE DE DATOS'!$Z$5:$Z$152,0)),"")</f>
        <v/>
      </c>
      <c r="O131" s="28" t="str">
        <f>IFERROR(INDEX('BASE DE DATOS'!$U$5:$U$152,MATCH(127,'BASE DE DATOS'!$Z$5:$Z$152,0)),"")</f>
        <v/>
      </c>
    </row>
    <row r="132" spans="1:15" x14ac:dyDescent="0.3">
      <c r="A132" s="9">
        <v>128</v>
      </c>
      <c r="B132" s="28" t="str">
        <f>IFERROR(INDEX('BASE DE DATOS'!$A$5:$A$152,MATCH(128,'BASE DE DATOS'!$Z$5:$Z$152,0)),"")</f>
        <v/>
      </c>
      <c r="C132" s="27" t="str">
        <f>IFERROR(INDEX('BASE DE DATOS'!$B$5:$B$152,MATCH(128,'BASE DE DATOS'!$Z$5:$Z$152,0)),"")</f>
        <v/>
      </c>
      <c r="D132" s="28" t="str">
        <f>IFERROR(INDEX('BASE DE DATOS'!$C$5:$C$152,MATCH(128,'BASE DE DATOS'!$Z$5:$Z$152,0)),"")</f>
        <v/>
      </c>
      <c r="E132" s="28" t="str">
        <f>IFERROR(INDEX('BASE DE DATOS'!$D$5:$D$152,MATCH(128,'BASE DE DATOS'!$Z$5:$Z$152,0)),"")</f>
        <v/>
      </c>
      <c r="F132" s="28" t="str">
        <f>IFERROR(INDEX('BASE DE DATOS'!$E$5:$E$152,MATCH(128,'BASE DE DATOS'!$Z$5:$Z$152,0)),"")</f>
        <v/>
      </c>
      <c r="G132" s="27" t="str">
        <f>IFERROR(INDEX('BASE DE DATOS'!$F$5:$F$152,MATCH(128,'BASE DE DATOS'!$Z$5:$Z$152,0)),"")</f>
        <v/>
      </c>
      <c r="H132" s="29" t="str">
        <f>IFERROR(INDEX('BASE DE DATOS'!$G$5:$G$152,MATCH(128,'BASE DE DATOS'!$Z$5:$Z$152,0)),"")</f>
        <v/>
      </c>
      <c r="I132" s="14" t="str">
        <f>IFERROR(INDEX('BASE DE DATOS'!$P$5:$P$152,MATCH(128,'BASE DE DATOS'!$Z$5:$Z$152,0)),"")</f>
        <v/>
      </c>
      <c r="J132" s="26" t="str">
        <f>IFERROR(INDEX('BASE DE DATOS'!$Q$5:$Q$152,MATCH(128,'BASE DE DATOS'!$Z$5:$Z$152,0)),"")</f>
        <v/>
      </c>
      <c r="K132" s="28" t="str">
        <f>IFERROR(INDEX('BASE DE DATOS'!$R$5:$R$152,MATCH(128,'BASE DE DATOS'!$Z$5:$Z$152,0)),"")</f>
        <v/>
      </c>
      <c r="L132" s="28" t="str">
        <f>IFERROR(INDEX('BASE DE DATOS'!$S$5:$S$152,MATCH(128,'BASE DE DATOS'!$Z$5:$Z$152,0)),"")</f>
        <v/>
      </c>
      <c r="M132" s="28" t="str">
        <f>IFERROR(INDEX('BASE DE DATOS'!$T$5:$T$152,MATCH(128,'BASE DE DATOS'!$Z$5:$Z$152,0)),"")</f>
        <v/>
      </c>
      <c r="N132" s="27" t="str">
        <f>IFERROR(INDEX('BASE DE DATOS'!$W$5:$W$152,MATCH(128,'BASE DE DATOS'!$Z$5:$Z$152,0)),"")</f>
        <v/>
      </c>
      <c r="O132" s="28" t="str">
        <f>IFERROR(INDEX('BASE DE DATOS'!$U$5:$U$152,MATCH(128,'BASE DE DATOS'!$Z$5:$Z$152,0)),"")</f>
        <v/>
      </c>
    </row>
    <row r="133" spans="1:15" x14ac:dyDescent="0.3">
      <c r="A133" s="9">
        <v>129</v>
      </c>
      <c r="B133" s="28" t="str">
        <f>IFERROR(INDEX('BASE DE DATOS'!$A$5:$A$152,MATCH(129,'BASE DE DATOS'!$Z$5:$Z$152,0)),"")</f>
        <v/>
      </c>
      <c r="C133" s="27" t="str">
        <f>IFERROR(INDEX('BASE DE DATOS'!$B$5:$B$152,MATCH(129,'BASE DE DATOS'!$Z$5:$Z$152,0)),"")</f>
        <v/>
      </c>
      <c r="D133" s="28" t="str">
        <f>IFERROR(INDEX('BASE DE DATOS'!$C$5:$C$152,MATCH(129,'BASE DE DATOS'!$Z$5:$Z$152,0)),"")</f>
        <v/>
      </c>
      <c r="E133" s="28" t="str">
        <f>IFERROR(INDEX('BASE DE DATOS'!$D$5:$D$152,MATCH(129,'BASE DE DATOS'!$Z$5:$Z$152,0)),"")</f>
        <v/>
      </c>
      <c r="F133" s="28" t="str">
        <f>IFERROR(INDEX('BASE DE DATOS'!$E$5:$E$152,MATCH(129,'BASE DE DATOS'!$Z$5:$Z$152,0)),"")</f>
        <v/>
      </c>
      <c r="G133" s="27" t="str">
        <f>IFERROR(INDEX('BASE DE DATOS'!$F$5:$F$152,MATCH(129,'BASE DE DATOS'!$Z$5:$Z$152,0)),"")</f>
        <v/>
      </c>
      <c r="H133" s="29" t="str">
        <f>IFERROR(INDEX('BASE DE DATOS'!$G$5:$G$152,MATCH(129,'BASE DE DATOS'!$Z$5:$Z$152,0)),"")</f>
        <v/>
      </c>
      <c r="I133" s="14" t="str">
        <f>IFERROR(INDEX('BASE DE DATOS'!$P$5:$P$152,MATCH(129,'BASE DE DATOS'!$Z$5:$Z$152,0)),"")</f>
        <v/>
      </c>
      <c r="J133" s="26" t="str">
        <f>IFERROR(INDEX('BASE DE DATOS'!$Q$5:$Q$152,MATCH(129,'BASE DE DATOS'!$Z$5:$Z$152,0)),"")</f>
        <v/>
      </c>
      <c r="K133" s="28" t="str">
        <f>IFERROR(INDEX('BASE DE DATOS'!$R$5:$R$152,MATCH(129,'BASE DE DATOS'!$Z$5:$Z$152,0)),"")</f>
        <v/>
      </c>
      <c r="L133" s="28" t="str">
        <f>IFERROR(INDEX('BASE DE DATOS'!$S$5:$S$152,MATCH(129,'BASE DE DATOS'!$Z$5:$Z$152,0)),"")</f>
        <v/>
      </c>
      <c r="M133" s="28" t="str">
        <f>IFERROR(INDEX('BASE DE DATOS'!$T$5:$T$152,MATCH(129,'BASE DE DATOS'!$Z$5:$Z$152,0)),"")</f>
        <v/>
      </c>
      <c r="N133" s="27" t="str">
        <f>IFERROR(INDEX('BASE DE DATOS'!$W$5:$W$152,MATCH(129,'BASE DE DATOS'!$Z$5:$Z$152,0)),"")</f>
        <v/>
      </c>
      <c r="O133" s="28" t="str">
        <f>IFERROR(INDEX('BASE DE DATOS'!$U$5:$U$152,MATCH(129,'BASE DE DATOS'!$Z$5:$Z$152,0)),"")</f>
        <v/>
      </c>
    </row>
    <row r="134" spans="1:15" x14ac:dyDescent="0.3">
      <c r="A134" s="9">
        <v>130</v>
      </c>
      <c r="B134" s="28" t="str">
        <f>IFERROR(INDEX('BASE DE DATOS'!$A$5:$A$152,MATCH(130,'BASE DE DATOS'!$Z$5:$Z$152,0)),"")</f>
        <v/>
      </c>
      <c r="C134" s="27" t="str">
        <f>IFERROR(INDEX('BASE DE DATOS'!$B$5:$B$152,MATCH(130,'BASE DE DATOS'!$Z$5:$Z$152,0)),"")</f>
        <v/>
      </c>
      <c r="D134" s="28" t="str">
        <f>IFERROR(INDEX('BASE DE DATOS'!$C$5:$C$152,MATCH(130,'BASE DE DATOS'!$Z$5:$Z$152,0)),"")</f>
        <v/>
      </c>
      <c r="E134" s="28" t="str">
        <f>IFERROR(INDEX('BASE DE DATOS'!$D$5:$D$152,MATCH(130,'BASE DE DATOS'!$Z$5:$Z$152,0)),"")</f>
        <v/>
      </c>
      <c r="F134" s="28" t="str">
        <f>IFERROR(INDEX('BASE DE DATOS'!$E$5:$E$152,MATCH(130,'BASE DE DATOS'!$Z$5:$Z$152,0)),"")</f>
        <v/>
      </c>
      <c r="G134" s="27" t="str">
        <f>IFERROR(INDEX('BASE DE DATOS'!$F$5:$F$152,MATCH(130,'BASE DE DATOS'!$Z$5:$Z$152,0)),"")</f>
        <v/>
      </c>
      <c r="H134" s="29" t="str">
        <f>IFERROR(INDEX('BASE DE DATOS'!$G$5:$G$152,MATCH(130,'BASE DE DATOS'!$Z$5:$Z$152,0)),"")</f>
        <v/>
      </c>
      <c r="I134" s="14" t="str">
        <f>IFERROR(INDEX('BASE DE DATOS'!$P$5:$P$152,MATCH(130,'BASE DE DATOS'!$Z$5:$Z$152,0)),"")</f>
        <v/>
      </c>
      <c r="J134" s="26" t="str">
        <f>IFERROR(INDEX('BASE DE DATOS'!$Q$5:$Q$152,MATCH(130,'BASE DE DATOS'!$Z$5:$Z$152,0)),"")</f>
        <v/>
      </c>
      <c r="K134" s="28" t="str">
        <f>IFERROR(INDEX('BASE DE DATOS'!$R$5:$R$152,MATCH(130,'BASE DE DATOS'!$Z$5:$Z$152,0)),"")</f>
        <v/>
      </c>
      <c r="L134" s="28" t="str">
        <f>IFERROR(INDEX('BASE DE DATOS'!$S$5:$S$152,MATCH(130,'BASE DE DATOS'!$Z$5:$Z$152,0)),"")</f>
        <v/>
      </c>
      <c r="M134" s="28" t="str">
        <f>IFERROR(INDEX('BASE DE DATOS'!$T$5:$T$152,MATCH(130,'BASE DE DATOS'!$Z$5:$Z$152,0)),"")</f>
        <v/>
      </c>
      <c r="N134" s="27" t="str">
        <f>IFERROR(INDEX('BASE DE DATOS'!$W$5:$W$152,MATCH(130,'BASE DE DATOS'!$Z$5:$Z$152,0)),"")</f>
        <v/>
      </c>
      <c r="O134" s="28" t="str">
        <f>IFERROR(INDEX('BASE DE DATOS'!$U$5:$U$152,MATCH(130,'BASE DE DATOS'!$Z$5:$Z$152,0)),"")</f>
        <v/>
      </c>
    </row>
    <row r="135" spans="1:15" x14ac:dyDescent="0.3">
      <c r="A135" s="9">
        <v>131</v>
      </c>
      <c r="B135" s="28" t="str">
        <f>IFERROR(INDEX('BASE DE DATOS'!$A$5:$A$152,MATCH(131,'BASE DE DATOS'!$Z$5:$Z$152,0)),"")</f>
        <v/>
      </c>
      <c r="C135" s="27" t="str">
        <f>IFERROR(INDEX('BASE DE DATOS'!$B$5:$B$152,MATCH(131,'BASE DE DATOS'!$Z$5:$Z$152,0)),"")</f>
        <v/>
      </c>
      <c r="D135" s="28" t="str">
        <f>IFERROR(INDEX('BASE DE DATOS'!$C$5:$C$152,MATCH(131,'BASE DE DATOS'!$Z$5:$Z$152,0)),"")</f>
        <v/>
      </c>
      <c r="E135" s="28" t="str">
        <f>IFERROR(INDEX('BASE DE DATOS'!$D$5:$D$152,MATCH(131,'BASE DE DATOS'!$Z$5:$Z$152,0)),"")</f>
        <v/>
      </c>
      <c r="F135" s="28" t="str">
        <f>IFERROR(INDEX('BASE DE DATOS'!$E$5:$E$152,MATCH(131,'BASE DE DATOS'!$Z$5:$Z$152,0)),"")</f>
        <v/>
      </c>
      <c r="G135" s="27" t="str">
        <f>IFERROR(INDEX('BASE DE DATOS'!$F$5:$F$152,MATCH(131,'BASE DE DATOS'!$Z$5:$Z$152,0)),"")</f>
        <v/>
      </c>
      <c r="H135" s="29" t="str">
        <f>IFERROR(INDEX('BASE DE DATOS'!$G$5:$G$152,MATCH(131,'BASE DE DATOS'!$Z$5:$Z$152,0)),"")</f>
        <v/>
      </c>
      <c r="I135" s="14" t="str">
        <f>IFERROR(INDEX('BASE DE DATOS'!$P$5:$P$152,MATCH(131,'BASE DE DATOS'!$Z$5:$Z$152,0)),"")</f>
        <v/>
      </c>
      <c r="J135" s="26" t="str">
        <f>IFERROR(INDEX('BASE DE DATOS'!$Q$5:$Q$152,MATCH(131,'BASE DE DATOS'!$Z$5:$Z$152,0)),"")</f>
        <v/>
      </c>
      <c r="K135" s="28" t="str">
        <f>IFERROR(INDEX('BASE DE DATOS'!$R$5:$R$152,MATCH(131,'BASE DE DATOS'!$Z$5:$Z$152,0)),"")</f>
        <v/>
      </c>
      <c r="L135" s="28" t="str">
        <f>IFERROR(INDEX('BASE DE DATOS'!$S$5:$S$152,MATCH(131,'BASE DE DATOS'!$Z$5:$Z$152,0)),"")</f>
        <v/>
      </c>
      <c r="M135" s="28" t="str">
        <f>IFERROR(INDEX('BASE DE DATOS'!$T$5:$T$152,MATCH(131,'BASE DE DATOS'!$Z$5:$Z$152,0)),"")</f>
        <v/>
      </c>
      <c r="N135" s="27" t="str">
        <f>IFERROR(INDEX('BASE DE DATOS'!$W$5:$W$152,MATCH(131,'BASE DE DATOS'!$Z$5:$Z$152,0)),"")</f>
        <v/>
      </c>
      <c r="O135" s="28" t="str">
        <f>IFERROR(INDEX('BASE DE DATOS'!$U$5:$U$152,MATCH(131,'BASE DE DATOS'!$Z$5:$Z$152,0)),"")</f>
        <v/>
      </c>
    </row>
    <row r="136" spans="1:15" x14ac:dyDescent="0.3">
      <c r="A136" s="9">
        <v>132</v>
      </c>
      <c r="B136" s="28" t="str">
        <f>IFERROR(INDEX('BASE DE DATOS'!$A$5:$A$152,MATCH(132,'BASE DE DATOS'!$Z$5:$Z$152,0)),"")</f>
        <v/>
      </c>
      <c r="C136" s="27" t="str">
        <f>IFERROR(INDEX('BASE DE DATOS'!$B$5:$B$152,MATCH(132,'BASE DE DATOS'!$Z$5:$Z$152,0)),"")</f>
        <v/>
      </c>
      <c r="D136" s="28" t="str">
        <f>IFERROR(INDEX('BASE DE DATOS'!$C$5:$C$152,MATCH(132,'BASE DE DATOS'!$Z$5:$Z$152,0)),"")</f>
        <v/>
      </c>
      <c r="E136" s="28" t="str">
        <f>IFERROR(INDEX('BASE DE DATOS'!$D$5:$D$152,MATCH(132,'BASE DE DATOS'!$Z$5:$Z$152,0)),"")</f>
        <v/>
      </c>
      <c r="F136" s="28" t="str">
        <f>IFERROR(INDEX('BASE DE DATOS'!$E$5:$E$152,MATCH(132,'BASE DE DATOS'!$Z$5:$Z$152,0)),"")</f>
        <v/>
      </c>
      <c r="G136" s="27" t="str">
        <f>IFERROR(INDEX('BASE DE DATOS'!$F$5:$F$152,MATCH(132,'BASE DE DATOS'!$Z$5:$Z$152,0)),"")</f>
        <v/>
      </c>
      <c r="H136" s="29" t="str">
        <f>IFERROR(INDEX('BASE DE DATOS'!$G$5:$G$152,MATCH(132,'BASE DE DATOS'!$Z$5:$Z$152,0)),"")</f>
        <v/>
      </c>
      <c r="I136" s="14" t="str">
        <f>IFERROR(INDEX('BASE DE DATOS'!$P$5:$P$152,MATCH(132,'BASE DE DATOS'!$Z$5:$Z$152,0)),"")</f>
        <v/>
      </c>
      <c r="J136" s="26" t="str">
        <f>IFERROR(INDEX('BASE DE DATOS'!$Q$5:$Q$152,MATCH(132,'BASE DE DATOS'!$Z$5:$Z$152,0)),"")</f>
        <v/>
      </c>
      <c r="K136" s="28" t="str">
        <f>IFERROR(INDEX('BASE DE DATOS'!$R$5:$R$152,MATCH(132,'BASE DE DATOS'!$Z$5:$Z$152,0)),"")</f>
        <v/>
      </c>
      <c r="L136" s="28" t="str">
        <f>IFERROR(INDEX('BASE DE DATOS'!$S$5:$S$152,MATCH(132,'BASE DE DATOS'!$Z$5:$Z$152,0)),"")</f>
        <v/>
      </c>
      <c r="M136" s="28" t="str">
        <f>IFERROR(INDEX('BASE DE DATOS'!$T$5:$T$152,MATCH(132,'BASE DE DATOS'!$Z$5:$Z$152,0)),"")</f>
        <v/>
      </c>
      <c r="N136" s="27" t="str">
        <f>IFERROR(INDEX('BASE DE DATOS'!$W$5:$W$152,MATCH(132,'BASE DE DATOS'!$Z$5:$Z$152,0)),"")</f>
        <v/>
      </c>
      <c r="O136" s="28" t="str">
        <f>IFERROR(INDEX('BASE DE DATOS'!$U$5:$U$152,MATCH(132,'BASE DE DATOS'!$Z$5:$Z$152,0)),"")</f>
        <v/>
      </c>
    </row>
    <row r="137" spans="1:15" x14ac:dyDescent="0.3">
      <c r="A137" s="9">
        <v>133</v>
      </c>
      <c r="B137" s="28" t="str">
        <f>IFERROR(INDEX('BASE DE DATOS'!$A$5:$A$152,MATCH(133,'BASE DE DATOS'!$Z$5:$Z$152,0)),"")</f>
        <v/>
      </c>
      <c r="C137" s="27" t="str">
        <f>IFERROR(INDEX('BASE DE DATOS'!$B$5:$B$152,MATCH(133,'BASE DE DATOS'!$Z$5:$Z$152,0)),"")</f>
        <v/>
      </c>
      <c r="D137" s="28" t="str">
        <f>IFERROR(INDEX('BASE DE DATOS'!$C$5:$C$152,MATCH(133,'BASE DE DATOS'!$Z$5:$Z$152,0)),"")</f>
        <v/>
      </c>
      <c r="E137" s="28" t="str">
        <f>IFERROR(INDEX('BASE DE DATOS'!$D$5:$D$152,MATCH(133,'BASE DE DATOS'!$Z$5:$Z$152,0)),"")</f>
        <v/>
      </c>
      <c r="F137" s="28" t="str">
        <f>IFERROR(INDEX('BASE DE DATOS'!$E$5:$E$152,MATCH(133,'BASE DE DATOS'!$Z$5:$Z$152,0)),"")</f>
        <v/>
      </c>
      <c r="G137" s="27" t="str">
        <f>IFERROR(INDEX('BASE DE DATOS'!$F$5:$F$152,MATCH(133,'BASE DE DATOS'!$Z$5:$Z$152,0)),"")</f>
        <v/>
      </c>
      <c r="H137" s="29" t="str">
        <f>IFERROR(INDEX('BASE DE DATOS'!$G$5:$G$152,MATCH(133,'BASE DE DATOS'!$Z$5:$Z$152,0)),"")</f>
        <v/>
      </c>
      <c r="I137" s="14" t="str">
        <f>IFERROR(INDEX('BASE DE DATOS'!$P$5:$P$152,MATCH(133,'BASE DE DATOS'!$Z$5:$Z$152,0)),"")</f>
        <v/>
      </c>
      <c r="J137" s="26" t="str">
        <f>IFERROR(INDEX('BASE DE DATOS'!$Q$5:$Q$152,MATCH(133,'BASE DE DATOS'!$Z$5:$Z$152,0)),"")</f>
        <v/>
      </c>
      <c r="K137" s="28" t="str">
        <f>IFERROR(INDEX('BASE DE DATOS'!$R$5:$R$152,MATCH(133,'BASE DE DATOS'!$Z$5:$Z$152,0)),"")</f>
        <v/>
      </c>
      <c r="L137" s="28" t="str">
        <f>IFERROR(INDEX('BASE DE DATOS'!$S$5:$S$152,MATCH(133,'BASE DE DATOS'!$Z$5:$Z$152,0)),"")</f>
        <v/>
      </c>
      <c r="M137" s="28" t="str">
        <f>IFERROR(INDEX('BASE DE DATOS'!$T$5:$T$152,MATCH(133,'BASE DE DATOS'!$Z$5:$Z$152,0)),"")</f>
        <v/>
      </c>
      <c r="N137" s="27" t="str">
        <f>IFERROR(INDEX('BASE DE DATOS'!$W$5:$W$152,MATCH(133,'BASE DE DATOS'!$Z$5:$Z$152,0)),"")</f>
        <v/>
      </c>
      <c r="O137" s="28" t="str">
        <f>IFERROR(INDEX('BASE DE DATOS'!$U$5:$U$152,MATCH(133,'BASE DE DATOS'!$Z$5:$Z$152,0)),"")</f>
        <v/>
      </c>
    </row>
    <row r="138" spans="1:15" x14ac:dyDescent="0.3">
      <c r="A138" s="9">
        <v>134</v>
      </c>
      <c r="B138" s="28" t="str">
        <f>IFERROR(INDEX('BASE DE DATOS'!$A$5:$A$152,MATCH(134,'BASE DE DATOS'!$Z$5:$Z$152,0)),"")</f>
        <v/>
      </c>
      <c r="C138" s="27" t="str">
        <f>IFERROR(INDEX('BASE DE DATOS'!$B$5:$B$152,MATCH(134,'BASE DE DATOS'!$Z$5:$Z$152,0)),"")</f>
        <v/>
      </c>
      <c r="D138" s="28" t="str">
        <f>IFERROR(INDEX('BASE DE DATOS'!$C$5:$C$152,MATCH(134,'BASE DE DATOS'!$Z$5:$Z$152,0)),"")</f>
        <v/>
      </c>
      <c r="E138" s="28" t="str">
        <f>IFERROR(INDEX('BASE DE DATOS'!$D$5:$D$152,MATCH(134,'BASE DE DATOS'!$Z$5:$Z$152,0)),"")</f>
        <v/>
      </c>
      <c r="F138" s="28" t="str">
        <f>IFERROR(INDEX('BASE DE DATOS'!$E$5:$E$152,MATCH(134,'BASE DE DATOS'!$Z$5:$Z$152,0)),"")</f>
        <v/>
      </c>
      <c r="G138" s="27" t="str">
        <f>IFERROR(INDEX('BASE DE DATOS'!$F$5:$F$152,MATCH(134,'BASE DE DATOS'!$Z$5:$Z$152,0)),"")</f>
        <v/>
      </c>
      <c r="H138" s="29" t="str">
        <f>IFERROR(INDEX('BASE DE DATOS'!$G$5:$G$152,MATCH(134,'BASE DE DATOS'!$Z$5:$Z$152,0)),"")</f>
        <v/>
      </c>
      <c r="I138" s="14" t="str">
        <f>IFERROR(INDEX('BASE DE DATOS'!$P$5:$P$152,MATCH(134,'BASE DE DATOS'!$Z$5:$Z$152,0)),"")</f>
        <v/>
      </c>
      <c r="J138" s="26" t="str">
        <f>IFERROR(INDEX('BASE DE DATOS'!$Q$5:$Q$152,MATCH(134,'BASE DE DATOS'!$Z$5:$Z$152,0)),"")</f>
        <v/>
      </c>
      <c r="K138" s="28" t="str">
        <f>IFERROR(INDEX('BASE DE DATOS'!$R$5:$R$152,MATCH(134,'BASE DE DATOS'!$Z$5:$Z$152,0)),"")</f>
        <v/>
      </c>
      <c r="L138" s="28" t="str">
        <f>IFERROR(INDEX('BASE DE DATOS'!$S$5:$S$152,MATCH(134,'BASE DE DATOS'!$Z$5:$Z$152,0)),"")</f>
        <v/>
      </c>
      <c r="M138" s="28" t="str">
        <f>IFERROR(INDEX('BASE DE DATOS'!$T$5:$T$152,MATCH(134,'BASE DE DATOS'!$Z$5:$Z$152,0)),"")</f>
        <v/>
      </c>
      <c r="N138" s="27" t="str">
        <f>IFERROR(INDEX('BASE DE DATOS'!$W$5:$W$152,MATCH(134,'BASE DE DATOS'!$Z$5:$Z$152,0)),"")</f>
        <v/>
      </c>
      <c r="O138" s="28" t="str">
        <f>IFERROR(INDEX('BASE DE DATOS'!$U$5:$U$152,MATCH(134,'BASE DE DATOS'!$Z$5:$Z$152,0)),"")</f>
        <v/>
      </c>
    </row>
    <row r="139" spans="1:15" x14ac:dyDescent="0.3">
      <c r="A139" s="9">
        <v>135</v>
      </c>
      <c r="B139" s="28" t="str">
        <f>IFERROR(INDEX('BASE DE DATOS'!$A$5:$A$152,MATCH(135,'BASE DE DATOS'!$Z$5:$Z$152,0)),"")</f>
        <v/>
      </c>
      <c r="C139" s="27" t="str">
        <f>IFERROR(INDEX('BASE DE DATOS'!$B$5:$B$152,MATCH(135,'BASE DE DATOS'!$Z$5:$Z$152,0)),"")</f>
        <v/>
      </c>
      <c r="D139" s="28" t="str">
        <f>IFERROR(INDEX('BASE DE DATOS'!$C$5:$C$152,MATCH(135,'BASE DE DATOS'!$Z$5:$Z$152,0)),"")</f>
        <v/>
      </c>
      <c r="E139" s="28" t="str">
        <f>IFERROR(INDEX('BASE DE DATOS'!$D$5:$D$152,MATCH(135,'BASE DE DATOS'!$Z$5:$Z$152,0)),"")</f>
        <v/>
      </c>
      <c r="F139" s="28" t="str">
        <f>IFERROR(INDEX('BASE DE DATOS'!$E$5:$E$152,MATCH(135,'BASE DE DATOS'!$Z$5:$Z$152,0)),"")</f>
        <v/>
      </c>
      <c r="G139" s="27" t="str">
        <f>IFERROR(INDEX('BASE DE DATOS'!$F$5:$F$152,MATCH(135,'BASE DE DATOS'!$Z$5:$Z$152,0)),"")</f>
        <v/>
      </c>
      <c r="H139" s="29" t="str">
        <f>IFERROR(INDEX('BASE DE DATOS'!$G$5:$G$152,MATCH(135,'BASE DE DATOS'!$Z$5:$Z$152,0)),"")</f>
        <v/>
      </c>
      <c r="I139" s="14" t="str">
        <f>IFERROR(INDEX('BASE DE DATOS'!$P$5:$P$152,MATCH(135,'BASE DE DATOS'!$Z$5:$Z$152,0)),"")</f>
        <v/>
      </c>
      <c r="J139" s="26" t="str">
        <f>IFERROR(INDEX('BASE DE DATOS'!$Q$5:$Q$152,MATCH(135,'BASE DE DATOS'!$Z$5:$Z$152,0)),"")</f>
        <v/>
      </c>
      <c r="K139" s="28" t="str">
        <f>IFERROR(INDEX('BASE DE DATOS'!$R$5:$R$152,MATCH(135,'BASE DE DATOS'!$Z$5:$Z$152,0)),"")</f>
        <v/>
      </c>
      <c r="L139" s="28" t="str">
        <f>IFERROR(INDEX('BASE DE DATOS'!$S$5:$S$152,MATCH(135,'BASE DE DATOS'!$Z$5:$Z$152,0)),"")</f>
        <v/>
      </c>
      <c r="M139" s="28" t="str">
        <f>IFERROR(INDEX('BASE DE DATOS'!$T$5:$T$152,MATCH(135,'BASE DE DATOS'!$Z$5:$Z$152,0)),"")</f>
        <v/>
      </c>
      <c r="N139" s="27" t="str">
        <f>IFERROR(INDEX('BASE DE DATOS'!$W$5:$W$152,MATCH(135,'BASE DE DATOS'!$Z$5:$Z$152,0)),"")</f>
        <v/>
      </c>
      <c r="O139" s="28" t="str">
        <f>IFERROR(INDEX('BASE DE DATOS'!$U$5:$U$152,MATCH(135,'BASE DE DATOS'!$Z$5:$Z$152,0)),"")</f>
        <v/>
      </c>
    </row>
    <row r="140" spans="1:15" x14ac:dyDescent="0.3">
      <c r="A140" s="9">
        <v>136</v>
      </c>
      <c r="B140" s="28" t="str">
        <f>IFERROR(INDEX('BASE DE DATOS'!$A$5:$A$152,MATCH(136,'BASE DE DATOS'!$Z$5:$Z$152,0)),"")</f>
        <v/>
      </c>
      <c r="C140" s="27" t="str">
        <f>IFERROR(INDEX('BASE DE DATOS'!$B$5:$B$152,MATCH(136,'BASE DE DATOS'!$Z$5:$Z$152,0)),"")</f>
        <v/>
      </c>
      <c r="D140" s="28" t="str">
        <f>IFERROR(INDEX('BASE DE DATOS'!$C$5:$C$152,MATCH(136,'BASE DE DATOS'!$Z$5:$Z$152,0)),"")</f>
        <v/>
      </c>
      <c r="E140" s="28" t="str">
        <f>IFERROR(INDEX('BASE DE DATOS'!$D$5:$D$152,MATCH(136,'BASE DE DATOS'!$Z$5:$Z$152,0)),"")</f>
        <v/>
      </c>
      <c r="F140" s="28" t="str">
        <f>IFERROR(INDEX('BASE DE DATOS'!$E$5:$E$152,MATCH(136,'BASE DE DATOS'!$Z$5:$Z$152,0)),"")</f>
        <v/>
      </c>
      <c r="G140" s="27" t="str">
        <f>IFERROR(INDEX('BASE DE DATOS'!$F$5:$F$152,MATCH(136,'BASE DE DATOS'!$Z$5:$Z$152,0)),"")</f>
        <v/>
      </c>
      <c r="H140" s="29" t="str">
        <f>IFERROR(INDEX('BASE DE DATOS'!$G$5:$G$152,MATCH(136,'BASE DE DATOS'!$Z$5:$Z$152,0)),"")</f>
        <v/>
      </c>
      <c r="I140" s="14" t="str">
        <f>IFERROR(INDEX('BASE DE DATOS'!$P$5:$P$152,MATCH(136,'BASE DE DATOS'!$Z$5:$Z$152,0)),"")</f>
        <v/>
      </c>
      <c r="J140" s="26" t="str">
        <f>IFERROR(INDEX('BASE DE DATOS'!$Q$5:$Q$152,MATCH(136,'BASE DE DATOS'!$Z$5:$Z$152,0)),"")</f>
        <v/>
      </c>
      <c r="K140" s="28" t="str">
        <f>IFERROR(INDEX('BASE DE DATOS'!$R$5:$R$152,MATCH(136,'BASE DE DATOS'!$Z$5:$Z$152,0)),"")</f>
        <v/>
      </c>
      <c r="L140" s="28" t="str">
        <f>IFERROR(INDEX('BASE DE DATOS'!$S$5:$S$152,MATCH(136,'BASE DE DATOS'!$Z$5:$Z$152,0)),"")</f>
        <v/>
      </c>
      <c r="M140" s="28" t="str">
        <f>IFERROR(INDEX('BASE DE DATOS'!$T$5:$T$152,MATCH(136,'BASE DE DATOS'!$Z$5:$Z$152,0)),"")</f>
        <v/>
      </c>
      <c r="N140" s="27" t="str">
        <f>IFERROR(INDEX('BASE DE DATOS'!$W$5:$W$152,MATCH(136,'BASE DE DATOS'!$Z$5:$Z$152,0)),"")</f>
        <v/>
      </c>
      <c r="O140" s="28" t="str">
        <f>IFERROR(INDEX('BASE DE DATOS'!$U$5:$U$152,MATCH(136,'BASE DE DATOS'!$Z$5:$Z$152,0)),"")</f>
        <v/>
      </c>
    </row>
    <row r="141" spans="1:15" x14ac:dyDescent="0.3">
      <c r="A141" s="9">
        <v>137</v>
      </c>
      <c r="B141" s="28" t="str">
        <f>IFERROR(INDEX('BASE DE DATOS'!$A$5:$A$152,MATCH(137,'BASE DE DATOS'!$Z$5:$Z$152,0)),"")</f>
        <v/>
      </c>
      <c r="C141" s="27" t="str">
        <f>IFERROR(INDEX('BASE DE DATOS'!$B$5:$B$152,MATCH(137,'BASE DE DATOS'!$Z$5:$Z$152,0)),"")</f>
        <v/>
      </c>
      <c r="D141" s="28" t="str">
        <f>IFERROR(INDEX('BASE DE DATOS'!$C$5:$C$152,MATCH(137,'BASE DE DATOS'!$Z$5:$Z$152,0)),"")</f>
        <v/>
      </c>
      <c r="E141" s="28" t="str">
        <f>IFERROR(INDEX('BASE DE DATOS'!$D$5:$D$152,MATCH(137,'BASE DE DATOS'!$Z$5:$Z$152,0)),"")</f>
        <v/>
      </c>
      <c r="F141" s="28" t="str">
        <f>IFERROR(INDEX('BASE DE DATOS'!$E$5:$E$152,MATCH(137,'BASE DE DATOS'!$Z$5:$Z$152,0)),"")</f>
        <v/>
      </c>
      <c r="G141" s="27" t="str">
        <f>IFERROR(INDEX('BASE DE DATOS'!$F$5:$F$152,MATCH(137,'BASE DE DATOS'!$Z$5:$Z$152,0)),"")</f>
        <v/>
      </c>
      <c r="H141" s="29" t="str">
        <f>IFERROR(INDEX('BASE DE DATOS'!$G$5:$G$152,MATCH(137,'BASE DE DATOS'!$Z$5:$Z$152,0)),"")</f>
        <v/>
      </c>
      <c r="I141" s="14" t="str">
        <f>IFERROR(INDEX('BASE DE DATOS'!$P$5:$P$152,MATCH(137,'BASE DE DATOS'!$Z$5:$Z$152,0)),"")</f>
        <v/>
      </c>
      <c r="J141" s="26" t="str">
        <f>IFERROR(INDEX('BASE DE DATOS'!$Q$5:$Q$152,MATCH(137,'BASE DE DATOS'!$Z$5:$Z$152,0)),"")</f>
        <v/>
      </c>
      <c r="K141" s="28" t="str">
        <f>IFERROR(INDEX('BASE DE DATOS'!$R$5:$R$152,MATCH(137,'BASE DE DATOS'!$Z$5:$Z$152,0)),"")</f>
        <v/>
      </c>
      <c r="L141" s="28" t="str">
        <f>IFERROR(INDEX('BASE DE DATOS'!$S$5:$S$152,MATCH(137,'BASE DE DATOS'!$Z$5:$Z$152,0)),"")</f>
        <v/>
      </c>
      <c r="M141" s="28" t="str">
        <f>IFERROR(INDEX('BASE DE DATOS'!$T$5:$T$152,MATCH(137,'BASE DE DATOS'!$Z$5:$Z$152,0)),"")</f>
        <v/>
      </c>
      <c r="N141" s="27" t="str">
        <f>IFERROR(INDEX('BASE DE DATOS'!$W$5:$W$152,MATCH(137,'BASE DE DATOS'!$Z$5:$Z$152,0)),"")</f>
        <v/>
      </c>
      <c r="O141" s="28" t="str">
        <f>IFERROR(INDEX('BASE DE DATOS'!$U$5:$U$152,MATCH(137,'BASE DE DATOS'!$Z$5:$Z$152,0)),"")</f>
        <v/>
      </c>
    </row>
    <row r="142" spans="1:15" x14ac:dyDescent="0.3">
      <c r="A142" s="9">
        <v>138</v>
      </c>
      <c r="B142" s="28" t="str">
        <f>IFERROR(INDEX('BASE DE DATOS'!$A$5:$A$152,MATCH(138,'BASE DE DATOS'!$Z$5:$Z$152,0)),"")</f>
        <v/>
      </c>
      <c r="C142" s="27" t="str">
        <f>IFERROR(INDEX('BASE DE DATOS'!$B$5:$B$152,MATCH(138,'BASE DE DATOS'!$Z$5:$Z$152,0)),"")</f>
        <v/>
      </c>
      <c r="D142" s="28" t="str">
        <f>IFERROR(INDEX('BASE DE DATOS'!$C$5:$C$152,MATCH(138,'BASE DE DATOS'!$Z$5:$Z$152,0)),"")</f>
        <v/>
      </c>
      <c r="E142" s="28" t="str">
        <f>IFERROR(INDEX('BASE DE DATOS'!$D$5:$D$152,MATCH(138,'BASE DE DATOS'!$Z$5:$Z$152,0)),"")</f>
        <v/>
      </c>
      <c r="F142" s="28" t="str">
        <f>IFERROR(INDEX('BASE DE DATOS'!$E$5:$E$152,MATCH(138,'BASE DE DATOS'!$Z$5:$Z$152,0)),"")</f>
        <v/>
      </c>
      <c r="G142" s="27" t="str">
        <f>IFERROR(INDEX('BASE DE DATOS'!$F$5:$F$152,MATCH(138,'BASE DE DATOS'!$Z$5:$Z$152,0)),"")</f>
        <v/>
      </c>
      <c r="H142" s="29" t="str">
        <f>IFERROR(INDEX('BASE DE DATOS'!$G$5:$G$152,MATCH(138,'BASE DE DATOS'!$Z$5:$Z$152,0)),"")</f>
        <v/>
      </c>
      <c r="I142" s="14" t="str">
        <f>IFERROR(INDEX('BASE DE DATOS'!$P$5:$P$152,MATCH(138,'BASE DE DATOS'!$Z$5:$Z$152,0)),"")</f>
        <v/>
      </c>
      <c r="J142" s="26" t="str">
        <f>IFERROR(INDEX('BASE DE DATOS'!$Q$5:$Q$152,MATCH(138,'BASE DE DATOS'!$Z$5:$Z$152,0)),"")</f>
        <v/>
      </c>
      <c r="K142" s="28" t="str">
        <f>IFERROR(INDEX('BASE DE DATOS'!$R$5:$R$152,MATCH(138,'BASE DE DATOS'!$Z$5:$Z$152,0)),"")</f>
        <v/>
      </c>
      <c r="L142" s="28" t="str">
        <f>IFERROR(INDEX('BASE DE DATOS'!$S$5:$S$152,MATCH(138,'BASE DE DATOS'!$Z$5:$Z$152,0)),"")</f>
        <v/>
      </c>
      <c r="M142" s="28" t="str">
        <f>IFERROR(INDEX('BASE DE DATOS'!$T$5:$T$152,MATCH(138,'BASE DE DATOS'!$Z$5:$Z$152,0)),"")</f>
        <v/>
      </c>
      <c r="N142" s="27" t="str">
        <f>IFERROR(INDEX('BASE DE DATOS'!$W$5:$W$152,MATCH(138,'BASE DE DATOS'!$Z$5:$Z$152,0)),"")</f>
        <v/>
      </c>
      <c r="O142" s="28" t="str">
        <f>IFERROR(INDEX('BASE DE DATOS'!$U$5:$U$152,MATCH(138,'BASE DE DATOS'!$Z$5:$Z$152,0)),"")</f>
        <v/>
      </c>
    </row>
    <row r="143" spans="1:15" x14ac:dyDescent="0.3">
      <c r="A143" s="9">
        <v>139</v>
      </c>
      <c r="B143" s="28" t="str">
        <f>IFERROR(INDEX('BASE DE DATOS'!$A$5:$A$152,MATCH(139,'BASE DE DATOS'!$Z$5:$Z$152,0)),"")</f>
        <v/>
      </c>
      <c r="C143" s="27" t="str">
        <f>IFERROR(INDEX('BASE DE DATOS'!$B$5:$B$152,MATCH(139,'BASE DE DATOS'!$Z$5:$Z$152,0)),"")</f>
        <v/>
      </c>
      <c r="D143" s="28" t="str">
        <f>IFERROR(INDEX('BASE DE DATOS'!$C$5:$C$152,MATCH(139,'BASE DE DATOS'!$Z$5:$Z$152,0)),"")</f>
        <v/>
      </c>
      <c r="E143" s="28" t="str">
        <f>IFERROR(INDEX('BASE DE DATOS'!$D$5:$D$152,MATCH(139,'BASE DE DATOS'!$Z$5:$Z$152,0)),"")</f>
        <v/>
      </c>
      <c r="F143" s="28" t="str">
        <f>IFERROR(INDEX('BASE DE DATOS'!$E$5:$E$152,MATCH(139,'BASE DE DATOS'!$Z$5:$Z$152,0)),"")</f>
        <v/>
      </c>
      <c r="G143" s="27" t="str">
        <f>IFERROR(INDEX('BASE DE DATOS'!$F$5:$F$152,MATCH(139,'BASE DE DATOS'!$Z$5:$Z$152,0)),"")</f>
        <v/>
      </c>
      <c r="H143" s="29" t="str">
        <f>IFERROR(INDEX('BASE DE DATOS'!$G$5:$G$152,MATCH(139,'BASE DE DATOS'!$Z$5:$Z$152,0)),"")</f>
        <v/>
      </c>
      <c r="I143" s="14" t="str">
        <f>IFERROR(INDEX('BASE DE DATOS'!$P$5:$P$152,MATCH(139,'BASE DE DATOS'!$Z$5:$Z$152,0)),"")</f>
        <v/>
      </c>
      <c r="J143" s="26" t="str">
        <f>IFERROR(INDEX('BASE DE DATOS'!$Q$5:$Q$152,MATCH(139,'BASE DE DATOS'!$Z$5:$Z$152,0)),"")</f>
        <v/>
      </c>
      <c r="K143" s="28" t="str">
        <f>IFERROR(INDEX('BASE DE DATOS'!$R$5:$R$152,MATCH(139,'BASE DE DATOS'!$Z$5:$Z$152,0)),"")</f>
        <v/>
      </c>
      <c r="L143" s="28" t="str">
        <f>IFERROR(INDEX('BASE DE DATOS'!$S$5:$S$152,MATCH(139,'BASE DE DATOS'!$Z$5:$Z$152,0)),"")</f>
        <v/>
      </c>
      <c r="M143" s="28" t="str">
        <f>IFERROR(INDEX('BASE DE DATOS'!$T$5:$T$152,MATCH(139,'BASE DE DATOS'!$Z$5:$Z$152,0)),"")</f>
        <v/>
      </c>
      <c r="N143" s="27" t="str">
        <f>IFERROR(INDEX('BASE DE DATOS'!$W$5:$W$152,MATCH(139,'BASE DE DATOS'!$Z$5:$Z$152,0)),"")</f>
        <v/>
      </c>
      <c r="O143" s="28" t="str">
        <f>IFERROR(INDEX('BASE DE DATOS'!$U$5:$U$152,MATCH(139,'BASE DE DATOS'!$Z$5:$Z$152,0)),"")</f>
        <v/>
      </c>
    </row>
    <row r="144" spans="1:15" x14ac:dyDescent="0.3">
      <c r="A144" s="9">
        <v>140</v>
      </c>
      <c r="B144" s="28" t="str">
        <f>IFERROR(INDEX('BASE DE DATOS'!$A$5:$A$152,MATCH(140,'BASE DE DATOS'!$Z$5:$Z$152,0)),"")</f>
        <v/>
      </c>
      <c r="C144" s="27" t="str">
        <f>IFERROR(INDEX('BASE DE DATOS'!$B$5:$B$152,MATCH(140,'BASE DE DATOS'!$Z$5:$Z$152,0)),"")</f>
        <v/>
      </c>
      <c r="D144" s="28" t="str">
        <f>IFERROR(INDEX('BASE DE DATOS'!$C$5:$C$152,MATCH(140,'BASE DE DATOS'!$Z$5:$Z$152,0)),"")</f>
        <v/>
      </c>
      <c r="E144" s="28" t="str">
        <f>IFERROR(INDEX('BASE DE DATOS'!$D$5:$D$152,MATCH(140,'BASE DE DATOS'!$Z$5:$Z$152,0)),"")</f>
        <v/>
      </c>
      <c r="F144" s="28" t="str">
        <f>IFERROR(INDEX('BASE DE DATOS'!$E$5:$E$152,MATCH(140,'BASE DE DATOS'!$Z$5:$Z$152,0)),"")</f>
        <v/>
      </c>
      <c r="G144" s="27" t="str">
        <f>IFERROR(INDEX('BASE DE DATOS'!$F$5:$F$152,MATCH(140,'BASE DE DATOS'!$Z$5:$Z$152,0)),"")</f>
        <v/>
      </c>
      <c r="H144" s="29" t="str">
        <f>IFERROR(INDEX('BASE DE DATOS'!$G$5:$G$152,MATCH(140,'BASE DE DATOS'!$Z$5:$Z$152,0)),"")</f>
        <v/>
      </c>
      <c r="I144" s="14" t="str">
        <f>IFERROR(INDEX('BASE DE DATOS'!$P$5:$P$152,MATCH(140,'BASE DE DATOS'!$Z$5:$Z$152,0)),"")</f>
        <v/>
      </c>
      <c r="J144" s="26" t="str">
        <f>IFERROR(INDEX('BASE DE DATOS'!$Q$5:$Q$152,MATCH(140,'BASE DE DATOS'!$Z$5:$Z$152,0)),"")</f>
        <v/>
      </c>
      <c r="K144" s="28" t="str">
        <f>IFERROR(INDEX('BASE DE DATOS'!$R$5:$R$152,MATCH(140,'BASE DE DATOS'!$Z$5:$Z$152,0)),"")</f>
        <v/>
      </c>
      <c r="L144" s="28" t="str">
        <f>IFERROR(INDEX('BASE DE DATOS'!$S$5:$S$152,MATCH(140,'BASE DE DATOS'!$Z$5:$Z$152,0)),"")</f>
        <v/>
      </c>
      <c r="M144" s="28" t="str">
        <f>IFERROR(INDEX('BASE DE DATOS'!$T$5:$T$152,MATCH(140,'BASE DE DATOS'!$Z$5:$Z$152,0)),"")</f>
        <v/>
      </c>
      <c r="N144" s="27" t="str">
        <f>IFERROR(INDEX('BASE DE DATOS'!$W$5:$W$152,MATCH(140,'BASE DE DATOS'!$Z$5:$Z$152,0)),"")</f>
        <v/>
      </c>
      <c r="O144" s="28" t="str">
        <f>IFERROR(INDEX('BASE DE DATOS'!$U$5:$U$152,MATCH(140,'BASE DE DATOS'!$Z$5:$Z$152,0)),"")</f>
        <v/>
      </c>
    </row>
    <row r="145" spans="1:15" x14ac:dyDescent="0.3">
      <c r="A145" s="9">
        <v>141</v>
      </c>
      <c r="B145" s="28" t="str">
        <f>IFERROR(INDEX('BASE DE DATOS'!$A$5:$A$152,MATCH(141,'BASE DE DATOS'!$Z$5:$Z$152,0)),"")</f>
        <v/>
      </c>
      <c r="C145" s="27" t="str">
        <f>IFERROR(INDEX('BASE DE DATOS'!$B$5:$B$152,MATCH(141,'BASE DE DATOS'!$Z$5:$Z$152,0)),"")</f>
        <v/>
      </c>
      <c r="D145" s="28" t="str">
        <f>IFERROR(INDEX('BASE DE DATOS'!$C$5:$C$152,MATCH(141,'BASE DE DATOS'!$Z$5:$Z$152,0)),"")</f>
        <v/>
      </c>
      <c r="E145" s="28" t="str">
        <f>IFERROR(INDEX('BASE DE DATOS'!$D$5:$D$152,MATCH(141,'BASE DE DATOS'!$Z$5:$Z$152,0)),"")</f>
        <v/>
      </c>
      <c r="F145" s="28" t="str">
        <f>IFERROR(INDEX('BASE DE DATOS'!$E$5:$E$152,MATCH(141,'BASE DE DATOS'!$Z$5:$Z$152,0)),"")</f>
        <v/>
      </c>
      <c r="G145" s="27" t="str">
        <f>IFERROR(INDEX('BASE DE DATOS'!$F$5:$F$152,MATCH(141,'BASE DE DATOS'!$Z$5:$Z$152,0)),"")</f>
        <v/>
      </c>
      <c r="H145" s="29" t="str">
        <f>IFERROR(INDEX('BASE DE DATOS'!$G$5:$G$152,MATCH(141,'BASE DE DATOS'!$Z$5:$Z$152,0)),"")</f>
        <v/>
      </c>
      <c r="I145" s="14" t="str">
        <f>IFERROR(INDEX('BASE DE DATOS'!$P$5:$P$152,MATCH(141,'BASE DE DATOS'!$Z$5:$Z$152,0)),"")</f>
        <v/>
      </c>
      <c r="J145" s="26" t="str">
        <f>IFERROR(INDEX('BASE DE DATOS'!$Q$5:$Q$152,MATCH(141,'BASE DE DATOS'!$Z$5:$Z$152,0)),"")</f>
        <v/>
      </c>
      <c r="K145" s="28" t="str">
        <f>IFERROR(INDEX('BASE DE DATOS'!$R$5:$R$152,MATCH(141,'BASE DE DATOS'!$Z$5:$Z$152,0)),"")</f>
        <v/>
      </c>
      <c r="L145" s="28" t="str">
        <f>IFERROR(INDEX('BASE DE DATOS'!$S$5:$S$152,MATCH(141,'BASE DE DATOS'!$Z$5:$Z$152,0)),"")</f>
        <v/>
      </c>
      <c r="M145" s="28" t="str">
        <f>IFERROR(INDEX('BASE DE DATOS'!$T$5:$T$152,MATCH(141,'BASE DE DATOS'!$Z$5:$Z$152,0)),"")</f>
        <v/>
      </c>
      <c r="N145" s="27" t="str">
        <f>IFERROR(INDEX('BASE DE DATOS'!$W$5:$W$152,MATCH(141,'BASE DE DATOS'!$Z$5:$Z$152,0)),"")</f>
        <v/>
      </c>
      <c r="O145" s="28" t="str">
        <f>IFERROR(INDEX('BASE DE DATOS'!$U$5:$U$152,MATCH(141,'BASE DE DATOS'!$Z$5:$Z$152,0)),"")</f>
        <v/>
      </c>
    </row>
    <row r="146" spans="1:15" x14ac:dyDescent="0.3">
      <c r="A146" s="9">
        <v>142</v>
      </c>
      <c r="B146" s="28" t="str">
        <f>IFERROR(INDEX('BASE DE DATOS'!$A$5:$A$152,MATCH(142,'BASE DE DATOS'!$Z$5:$Z$152,0)),"")</f>
        <v/>
      </c>
      <c r="C146" s="27" t="str">
        <f>IFERROR(INDEX('BASE DE DATOS'!$B$5:$B$152,MATCH(142,'BASE DE DATOS'!$Z$5:$Z$152,0)),"")</f>
        <v/>
      </c>
      <c r="D146" s="28" t="str">
        <f>IFERROR(INDEX('BASE DE DATOS'!$C$5:$C$152,MATCH(142,'BASE DE DATOS'!$Z$5:$Z$152,0)),"")</f>
        <v/>
      </c>
      <c r="E146" s="28" t="str">
        <f>IFERROR(INDEX('BASE DE DATOS'!$D$5:$D$152,MATCH(142,'BASE DE DATOS'!$Z$5:$Z$152,0)),"")</f>
        <v/>
      </c>
      <c r="F146" s="28" t="str">
        <f>IFERROR(INDEX('BASE DE DATOS'!$E$5:$E$152,MATCH(142,'BASE DE DATOS'!$Z$5:$Z$152,0)),"")</f>
        <v/>
      </c>
      <c r="G146" s="27" t="str">
        <f>IFERROR(INDEX('BASE DE DATOS'!$F$5:$F$152,MATCH(142,'BASE DE DATOS'!$Z$5:$Z$152,0)),"")</f>
        <v/>
      </c>
      <c r="H146" s="29" t="str">
        <f>IFERROR(INDEX('BASE DE DATOS'!$G$5:$G$152,MATCH(142,'BASE DE DATOS'!$Z$5:$Z$152,0)),"")</f>
        <v/>
      </c>
      <c r="I146" s="14" t="str">
        <f>IFERROR(INDEX('BASE DE DATOS'!$P$5:$P$152,MATCH(142,'BASE DE DATOS'!$Z$5:$Z$152,0)),"")</f>
        <v/>
      </c>
      <c r="J146" s="26" t="str">
        <f>IFERROR(INDEX('BASE DE DATOS'!$Q$5:$Q$152,MATCH(142,'BASE DE DATOS'!$Z$5:$Z$152,0)),"")</f>
        <v/>
      </c>
      <c r="K146" s="28" t="str">
        <f>IFERROR(INDEX('BASE DE DATOS'!$R$5:$R$152,MATCH(142,'BASE DE DATOS'!$Z$5:$Z$152,0)),"")</f>
        <v/>
      </c>
      <c r="L146" s="28" t="str">
        <f>IFERROR(INDEX('BASE DE DATOS'!$S$5:$S$152,MATCH(142,'BASE DE DATOS'!$Z$5:$Z$152,0)),"")</f>
        <v/>
      </c>
      <c r="M146" s="28" t="str">
        <f>IFERROR(INDEX('BASE DE DATOS'!$T$5:$T$152,MATCH(142,'BASE DE DATOS'!$Z$5:$Z$152,0)),"")</f>
        <v/>
      </c>
      <c r="N146" s="27" t="str">
        <f>IFERROR(INDEX('BASE DE DATOS'!$W$5:$W$152,MATCH(142,'BASE DE DATOS'!$Z$5:$Z$152,0)),"")</f>
        <v/>
      </c>
      <c r="O146" s="28" t="str">
        <f>IFERROR(INDEX('BASE DE DATOS'!$U$5:$U$152,MATCH(142,'BASE DE DATOS'!$Z$5:$Z$152,0)),"")</f>
        <v/>
      </c>
    </row>
    <row r="147" spans="1:15" x14ac:dyDescent="0.3">
      <c r="A147" s="9">
        <v>143</v>
      </c>
      <c r="B147" s="28" t="str">
        <f>IFERROR(INDEX('BASE DE DATOS'!$A$5:$A$152,MATCH(143,'BASE DE DATOS'!$Z$5:$Z$152,0)),"")</f>
        <v/>
      </c>
      <c r="C147" s="27" t="str">
        <f>IFERROR(INDEX('BASE DE DATOS'!$B$5:$B$152,MATCH(143,'BASE DE DATOS'!$Z$5:$Z$152,0)),"")</f>
        <v/>
      </c>
      <c r="D147" s="28" t="str">
        <f>IFERROR(INDEX('BASE DE DATOS'!$C$5:$C$152,MATCH(143,'BASE DE DATOS'!$Z$5:$Z$152,0)),"")</f>
        <v/>
      </c>
      <c r="E147" s="28" t="str">
        <f>IFERROR(INDEX('BASE DE DATOS'!$D$5:$D$152,MATCH(143,'BASE DE DATOS'!$Z$5:$Z$152,0)),"")</f>
        <v/>
      </c>
      <c r="F147" s="28" t="str">
        <f>IFERROR(INDEX('BASE DE DATOS'!$E$5:$E$152,MATCH(143,'BASE DE DATOS'!$Z$5:$Z$152,0)),"")</f>
        <v/>
      </c>
      <c r="G147" s="27" t="str">
        <f>IFERROR(INDEX('BASE DE DATOS'!$F$5:$F$152,MATCH(143,'BASE DE DATOS'!$Z$5:$Z$152,0)),"")</f>
        <v/>
      </c>
      <c r="H147" s="29" t="str">
        <f>IFERROR(INDEX('BASE DE DATOS'!$G$5:$G$152,MATCH(143,'BASE DE DATOS'!$Z$5:$Z$152,0)),"")</f>
        <v/>
      </c>
      <c r="I147" s="14" t="str">
        <f>IFERROR(INDEX('BASE DE DATOS'!$P$5:$P$152,MATCH(143,'BASE DE DATOS'!$Z$5:$Z$152,0)),"")</f>
        <v/>
      </c>
      <c r="J147" s="26" t="str">
        <f>IFERROR(INDEX('BASE DE DATOS'!$Q$5:$Q$152,MATCH(143,'BASE DE DATOS'!$Z$5:$Z$152,0)),"")</f>
        <v/>
      </c>
      <c r="K147" s="28" t="str">
        <f>IFERROR(INDEX('BASE DE DATOS'!$R$5:$R$152,MATCH(143,'BASE DE DATOS'!$Z$5:$Z$152,0)),"")</f>
        <v/>
      </c>
      <c r="L147" s="28" t="str">
        <f>IFERROR(INDEX('BASE DE DATOS'!$S$5:$S$152,MATCH(143,'BASE DE DATOS'!$Z$5:$Z$152,0)),"")</f>
        <v/>
      </c>
      <c r="M147" s="28" t="str">
        <f>IFERROR(INDEX('BASE DE DATOS'!$T$5:$T$152,MATCH(143,'BASE DE DATOS'!$Z$5:$Z$152,0)),"")</f>
        <v/>
      </c>
      <c r="N147" s="27" t="str">
        <f>IFERROR(INDEX('BASE DE DATOS'!$W$5:$W$152,MATCH(143,'BASE DE DATOS'!$Z$5:$Z$152,0)),"")</f>
        <v/>
      </c>
      <c r="O147" s="28" t="str">
        <f>IFERROR(INDEX('BASE DE DATOS'!$U$5:$U$152,MATCH(143,'BASE DE DATOS'!$Z$5:$Z$152,0)),"")</f>
        <v/>
      </c>
    </row>
    <row r="148" spans="1:15" x14ac:dyDescent="0.3">
      <c r="A148" s="9">
        <v>144</v>
      </c>
      <c r="B148" s="28" t="str">
        <f>IFERROR(INDEX('BASE DE DATOS'!$A$5:$A$152,MATCH(144,'BASE DE DATOS'!$Z$5:$Z$152,0)),"")</f>
        <v/>
      </c>
      <c r="C148" s="27" t="str">
        <f>IFERROR(INDEX('BASE DE DATOS'!$B$5:$B$152,MATCH(144,'BASE DE DATOS'!$Z$5:$Z$152,0)),"")</f>
        <v/>
      </c>
      <c r="D148" s="28" t="str">
        <f>IFERROR(INDEX('BASE DE DATOS'!$C$5:$C$152,MATCH(144,'BASE DE DATOS'!$Z$5:$Z$152,0)),"")</f>
        <v/>
      </c>
      <c r="E148" s="28" t="str">
        <f>IFERROR(INDEX('BASE DE DATOS'!$D$5:$D$152,MATCH(144,'BASE DE DATOS'!$Z$5:$Z$152,0)),"")</f>
        <v/>
      </c>
      <c r="F148" s="28" t="str">
        <f>IFERROR(INDEX('BASE DE DATOS'!$E$5:$E$152,MATCH(144,'BASE DE DATOS'!$Z$5:$Z$152,0)),"")</f>
        <v/>
      </c>
      <c r="G148" s="27" t="str">
        <f>IFERROR(INDEX('BASE DE DATOS'!$F$5:$F$152,MATCH(144,'BASE DE DATOS'!$Z$5:$Z$152,0)),"")</f>
        <v/>
      </c>
      <c r="H148" s="29" t="str">
        <f>IFERROR(INDEX('BASE DE DATOS'!$G$5:$G$152,MATCH(144,'BASE DE DATOS'!$Z$5:$Z$152,0)),"")</f>
        <v/>
      </c>
      <c r="I148" s="14" t="str">
        <f>IFERROR(INDEX('BASE DE DATOS'!$P$5:$P$152,MATCH(144,'BASE DE DATOS'!$Z$5:$Z$152,0)),"")</f>
        <v/>
      </c>
      <c r="J148" s="26" t="str">
        <f>IFERROR(INDEX('BASE DE DATOS'!$Q$5:$Q$152,MATCH(144,'BASE DE DATOS'!$Z$5:$Z$152,0)),"")</f>
        <v/>
      </c>
      <c r="K148" s="28" t="str">
        <f>IFERROR(INDEX('BASE DE DATOS'!$R$5:$R$152,MATCH(144,'BASE DE DATOS'!$Z$5:$Z$152,0)),"")</f>
        <v/>
      </c>
      <c r="L148" s="28" t="str">
        <f>IFERROR(INDEX('BASE DE DATOS'!$S$5:$S$152,MATCH(144,'BASE DE DATOS'!$Z$5:$Z$152,0)),"")</f>
        <v/>
      </c>
      <c r="M148" s="28" t="str">
        <f>IFERROR(INDEX('BASE DE DATOS'!$T$5:$T$152,MATCH(144,'BASE DE DATOS'!$Z$5:$Z$152,0)),"")</f>
        <v/>
      </c>
      <c r="N148" s="27" t="str">
        <f>IFERROR(INDEX('BASE DE DATOS'!$W$5:$W$152,MATCH(144,'BASE DE DATOS'!$Z$5:$Z$152,0)),"")</f>
        <v/>
      </c>
      <c r="O148" s="28" t="str">
        <f>IFERROR(INDEX('BASE DE DATOS'!$U$5:$U$152,MATCH(144,'BASE DE DATOS'!$Z$5:$Z$152,0)),"")</f>
        <v/>
      </c>
    </row>
    <row r="149" spans="1:15" x14ac:dyDescent="0.3">
      <c r="A149" s="9">
        <v>145</v>
      </c>
      <c r="B149" s="28" t="str">
        <f>IFERROR(INDEX('BASE DE DATOS'!$A$5:$A$152,MATCH(145,'BASE DE DATOS'!$Z$5:$Z$152,0)),"")</f>
        <v/>
      </c>
      <c r="C149" s="27" t="str">
        <f>IFERROR(INDEX('BASE DE DATOS'!$B$5:$B$152,MATCH(145,'BASE DE DATOS'!$Z$5:$Z$152,0)),"")</f>
        <v/>
      </c>
      <c r="D149" s="28" t="str">
        <f>IFERROR(INDEX('BASE DE DATOS'!$C$5:$C$152,MATCH(145,'BASE DE DATOS'!$Z$5:$Z$152,0)),"")</f>
        <v/>
      </c>
      <c r="E149" s="28" t="str">
        <f>IFERROR(INDEX('BASE DE DATOS'!$D$5:$D$152,MATCH(145,'BASE DE DATOS'!$Z$5:$Z$152,0)),"")</f>
        <v/>
      </c>
      <c r="F149" s="28" t="str">
        <f>IFERROR(INDEX('BASE DE DATOS'!$E$5:$E$152,MATCH(145,'BASE DE DATOS'!$Z$5:$Z$152,0)),"")</f>
        <v/>
      </c>
      <c r="G149" s="27" t="str">
        <f>IFERROR(INDEX('BASE DE DATOS'!$F$5:$F$152,MATCH(145,'BASE DE DATOS'!$Z$5:$Z$152,0)),"")</f>
        <v/>
      </c>
      <c r="H149" s="29" t="str">
        <f>IFERROR(INDEX('BASE DE DATOS'!$G$5:$G$152,MATCH(145,'BASE DE DATOS'!$Z$5:$Z$152,0)),"")</f>
        <v/>
      </c>
      <c r="I149" s="14" t="str">
        <f>IFERROR(INDEX('BASE DE DATOS'!$P$5:$P$152,MATCH(145,'BASE DE DATOS'!$Z$5:$Z$152,0)),"")</f>
        <v/>
      </c>
      <c r="J149" s="26" t="str">
        <f>IFERROR(INDEX('BASE DE DATOS'!$Q$5:$Q$152,MATCH(145,'BASE DE DATOS'!$Z$5:$Z$152,0)),"")</f>
        <v/>
      </c>
      <c r="K149" s="28" t="str">
        <f>IFERROR(INDEX('BASE DE DATOS'!$R$5:$R$152,MATCH(145,'BASE DE DATOS'!$Z$5:$Z$152,0)),"")</f>
        <v/>
      </c>
      <c r="L149" s="28" t="str">
        <f>IFERROR(INDEX('BASE DE DATOS'!$S$5:$S$152,MATCH(145,'BASE DE DATOS'!$Z$5:$Z$152,0)),"")</f>
        <v/>
      </c>
      <c r="M149" s="28" t="str">
        <f>IFERROR(INDEX('BASE DE DATOS'!$T$5:$T$152,MATCH(145,'BASE DE DATOS'!$Z$5:$Z$152,0)),"")</f>
        <v/>
      </c>
      <c r="N149" s="27" t="str">
        <f>IFERROR(INDEX('BASE DE DATOS'!$W$5:$W$152,MATCH(145,'BASE DE DATOS'!$Z$5:$Z$152,0)),"")</f>
        <v/>
      </c>
      <c r="O149" s="28" t="str">
        <f>IFERROR(INDEX('BASE DE DATOS'!$U$5:$U$152,MATCH(145,'BASE DE DATOS'!$Z$5:$Z$152,0)),"")</f>
        <v/>
      </c>
    </row>
    <row r="150" spans="1:15" x14ac:dyDescent="0.3">
      <c r="A150" s="9">
        <v>146</v>
      </c>
      <c r="B150" s="28" t="str">
        <f>IFERROR(INDEX('BASE DE DATOS'!$A$5:$A$152,MATCH(146,'BASE DE DATOS'!$Z$5:$Z$152,0)),"")</f>
        <v/>
      </c>
      <c r="C150" s="27" t="str">
        <f>IFERROR(INDEX('BASE DE DATOS'!$B$5:$B$152,MATCH(146,'BASE DE DATOS'!$Z$5:$Z$152,0)),"")</f>
        <v/>
      </c>
      <c r="D150" s="28" t="str">
        <f>IFERROR(INDEX('BASE DE DATOS'!$C$5:$C$152,MATCH(146,'BASE DE DATOS'!$Z$5:$Z$152,0)),"")</f>
        <v/>
      </c>
      <c r="E150" s="28" t="str">
        <f>IFERROR(INDEX('BASE DE DATOS'!$D$5:$D$152,MATCH(146,'BASE DE DATOS'!$Z$5:$Z$152,0)),"")</f>
        <v/>
      </c>
      <c r="F150" s="28" t="str">
        <f>IFERROR(INDEX('BASE DE DATOS'!$E$5:$E$152,MATCH(146,'BASE DE DATOS'!$Z$5:$Z$152,0)),"")</f>
        <v/>
      </c>
      <c r="G150" s="27" t="str">
        <f>IFERROR(INDEX('BASE DE DATOS'!$F$5:$F$152,MATCH(146,'BASE DE DATOS'!$Z$5:$Z$152,0)),"")</f>
        <v/>
      </c>
      <c r="H150" s="29" t="str">
        <f>IFERROR(INDEX('BASE DE DATOS'!$G$5:$G$152,MATCH(146,'BASE DE DATOS'!$Z$5:$Z$152,0)),"")</f>
        <v/>
      </c>
      <c r="I150" s="14" t="str">
        <f>IFERROR(INDEX('BASE DE DATOS'!$P$5:$P$152,MATCH(146,'BASE DE DATOS'!$Z$5:$Z$152,0)),"")</f>
        <v/>
      </c>
      <c r="J150" s="26" t="str">
        <f>IFERROR(INDEX('BASE DE DATOS'!$Q$5:$Q$152,MATCH(146,'BASE DE DATOS'!$Z$5:$Z$152,0)),"")</f>
        <v/>
      </c>
      <c r="K150" s="28" t="str">
        <f>IFERROR(INDEX('BASE DE DATOS'!$R$5:$R$152,MATCH(146,'BASE DE DATOS'!$Z$5:$Z$152,0)),"")</f>
        <v/>
      </c>
      <c r="L150" s="28" t="str">
        <f>IFERROR(INDEX('BASE DE DATOS'!$S$5:$S$152,MATCH(146,'BASE DE DATOS'!$Z$5:$Z$152,0)),"")</f>
        <v/>
      </c>
      <c r="M150" s="28" t="str">
        <f>IFERROR(INDEX('BASE DE DATOS'!$T$5:$T$152,MATCH(146,'BASE DE DATOS'!$Z$5:$Z$152,0)),"")</f>
        <v/>
      </c>
      <c r="N150" s="27" t="str">
        <f>IFERROR(INDEX('BASE DE DATOS'!$W$5:$W$152,MATCH(146,'BASE DE DATOS'!$Z$5:$Z$152,0)),"")</f>
        <v/>
      </c>
      <c r="O150" s="28" t="str">
        <f>IFERROR(INDEX('BASE DE DATOS'!$U$5:$U$152,MATCH(146,'BASE DE DATOS'!$Z$5:$Z$152,0)),"")</f>
        <v/>
      </c>
    </row>
    <row r="151" spans="1:15" x14ac:dyDescent="0.3">
      <c r="A151" s="9">
        <v>147</v>
      </c>
      <c r="B151" s="28" t="str">
        <f>IFERROR(INDEX('BASE DE DATOS'!$A$5:$A$152,MATCH(147,'BASE DE DATOS'!$Z$5:$Z$152,0)),"")</f>
        <v/>
      </c>
      <c r="C151" s="27" t="str">
        <f>IFERROR(INDEX('BASE DE DATOS'!$B$5:$B$152,MATCH(147,'BASE DE DATOS'!$Z$5:$Z$152,0)),"")</f>
        <v/>
      </c>
      <c r="D151" s="28" t="str">
        <f>IFERROR(INDEX('BASE DE DATOS'!$C$5:$C$152,MATCH(147,'BASE DE DATOS'!$Z$5:$Z$152,0)),"")</f>
        <v/>
      </c>
      <c r="E151" s="28" t="str">
        <f>IFERROR(INDEX('BASE DE DATOS'!$D$5:$D$152,MATCH(147,'BASE DE DATOS'!$Z$5:$Z$152,0)),"")</f>
        <v/>
      </c>
      <c r="F151" s="28" t="str">
        <f>IFERROR(INDEX('BASE DE DATOS'!$E$5:$E$152,MATCH(147,'BASE DE DATOS'!$Z$5:$Z$152,0)),"")</f>
        <v/>
      </c>
      <c r="G151" s="27" t="str">
        <f>IFERROR(INDEX('BASE DE DATOS'!$F$5:$F$152,MATCH(147,'BASE DE DATOS'!$Z$5:$Z$152,0)),"")</f>
        <v/>
      </c>
      <c r="H151" s="29" t="str">
        <f>IFERROR(INDEX('BASE DE DATOS'!$G$5:$G$152,MATCH(147,'BASE DE DATOS'!$Z$5:$Z$152,0)),"")</f>
        <v/>
      </c>
      <c r="I151" s="14" t="str">
        <f>IFERROR(INDEX('BASE DE DATOS'!$P$5:$P$152,MATCH(147,'BASE DE DATOS'!$Z$5:$Z$152,0)),"")</f>
        <v/>
      </c>
      <c r="J151" s="26" t="str">
        <f>IFERROR(INDEX('BASE DE DATOS'!$Q$5:$Q$152,MATCH(147,'BASE DE DATOS'!$Z$5:$Z$152,0)),"")</f>
        <v/>
      </c>
      <c r="K151" s="28" t="str">
        <f>IFERROR(INDEX('BASE DE DATOS'!$R$5:$R$152,MATCH(147,'BASE DE DATOS'!$Z$5:$Z$152,0)),"")</f>
        <v/>
      </c>
      <c r="L151" s="28" t="str">
        <f>IFERROR(INDEX('BASE DE DATOS'!$S$5:$S$152,MATCH(147,'BASE DE DATOS'!$Z$5:$Z$152,0)),"")</f>
        <v/>
      </c>
      <c r="M151" s="28" t="str">
        <f>IFERROR(INDEX('BASE DE DATOS'!$T$5:$T$152,MATCH(147,'BASE DE DATOS'!$Z$5:$Z$152,0)),"")</f>
        <v/>
      </c>
      <c r="N151" s="27" t="str">
        <f>IFERROR(INDEX('BASE DE DATOS'!$W$5:$W$152,MATCH(147,'BASE DE DATOS'!$Z$5:$Z$152,0)),"")</f>
        <v/>
      </c>
      <c r="O151" s="28" t="str">
        <f>IFERROR(INDEX('BASE DE DATOS'!$U$5:$U$152,MATCH(147,'BASE DE DATOS'!$Z$5:$Z$152,0)),"")</f>
        <v/>
      </c>
    </row>
    <row r="152" spans="1:15" x14ac:dyDescent="0.3">
      <c r="A152" s="9">
        <v>148</v>
      </c>
      <c r="B152" s="28" t="str">
        <f>IFERROR(INDEX('BASE DE DATOS'!$A$5:$A$152,MATCH(148,'BASE DE DATOS'!$Z$5:$Z$152,0)),"")</f>
        <v/>
      </c>
      <c r="C152" s="27" t="str">
        <f>IFERROR(INDEX('BASE DE DATOS'!$B$5:$B$152,MATCH(148,'BASE DE DATOS'!$Z$5:$Z$152,0)),"")</f>
        <v/>
      </c>
      <c r="D152" s="28" t="str">
        <f>IFERROR(INDEX('BASE DE DATOS'!$C$5:$C$152,MATCH(148,'BASE DE DATOS'!$Z$5:$Z$152,0)),"")</f>
        <v/>
      </c>
      <c r="E152" s="28" t="str">
        <f>IFERROR(INDEX('BASE DE DATOS'!$D$5:$D$152,MATCH(148,'BASE DE DATOS'!$Z$5:$Z$152,0)),"")</f>
        <v/>
      </c>
      <c r="F152" s="28" t="str">
        <f>IFERROR(INDEX('BASE DE DATOS'!$E$5:$E$152,MATCH(148,'BASE DE DATOS'!$Z$5:$Z$152,0)),"")</f>
        <v/>
      </c>
      <c r="G152" s="27" t="str">
        <f>IFERROR(INDEX('BASE DE DATOS'!$F$5:$F$152,MATCH(148,'BASE DE DATOS'!$Z$5:$Z$152,0)),"")</f>
        <v/>
      </c>
      <c r="H152" s="29" t="str">
        <f>IFERROR(INDEX('BASE DE DATOS'!$G$5:$G$152,MATCH(148,'BASE DE DATOS'!$Z$5:$Z$152,0)),"")</f>
        <v/>
      </c>
      <c r="I152" s="14" t="str">
        <f>IFERROR(INDEX('BASE DE DATOS'!$P$5:$P$152,MATCH(148,'BASE DE DATOS'!$Z$5:$Z$152,0)),"")</f>
        <v/>
      </c>
      <c r="J152" s="26" t="str">
        <f>IFERROR(INDEX('BASE DE DATOS'!$Q$5:$Q$152,MATCH(148,'BASE DE DATOS'!$Z$5:$Z$152,0)),"")</f>
        <v/>
      </c>
      <c r="K152" s="28" t="str">
        <f>IFERROR(INDEX('BASE DE DATOS'!$R$5:$R$152,MATCH(148,'BASE DE DATOS'!$Z$5:$Z$152,0)),"")</f>
        <v/>
      </c>
      <c r="L152" s="28" t="str">
        <f>IFERROR(INDEX('BASE DE DATOS'!$S$5:$S$152,MATCH(148,'BASE DE DATOS'!$Z$5:$Z$152,0)),"")</f>
        <v/>
      </c>
      <c r="M152" s="28" t="str">
        <f>IFERROR(INDEX('BASE DE DATOS'!$T$5:$T$152,MATCH(148,'BASE DE DATOS'!$Z$5:$Z$152,0)),"")</f>
        <v/>
      </c>
      <c r="N152" s="27" t="str">
        <f>IFERROR(INDEX('BASE DE DATOS'!$W$5:$W$152,MATCH(148,'BASE DE DATOS'!$Z$5:$Z$152,0)),"")</f>
        <v/>
      </c>
      <c r="O152" s="28" t="str">
        <f>IFERROR(INDEX('BASE DE DATOS'!$U$5:$U$152,MATCH(148,'BASE DE DATOS'!$Z$5:$Z$152,0)),"")</f>
        <v/>
      </c>
    </row>
    <row r="153" spans="1:15" x14ac:dyDescent="0.3">
      <c r="A153" s="9">
        <v>149</v>
      </c>
      <c r="B153" s="28" t="str">
        <f>IFERROR(INDEX('BASE DE DATOS'!$A$5:$A$152,MATCH(149,'BASE DE DATOS'!$Z$5:$Z$152,0)),"")</f>
        <v/>
      </c>
      <c r="C153" s="27" t="str">
        <f>IFERROR(INDEX('BASE DE DATOS'!$B$5:$B$152,MATCH(149,'BASE DE DATOS'!$Z$5:$Z$152,0)),"")</f>
        <v/>
      </c>
      <c r="D153" s="28" t="str">
        <f>IFERROR(INDEX('BASE DE DATOS'!$C$5:$C$152,MATCH(149,'BASE DE DATOS'!$Z$5:$Z$152,0)),"")</f>
        <v/>
      </c>
      <c r="E153" s="28" t="str">
        <f>IFERROR(INDEX('BASE DE DATOS'!$D$5:$D$152,MATCH(149,'BASE DE DATOS'!$Z$5:$Z$152,0)),"")</f>
        <v/>
      </c>
      <c r="F153" s="28" t="str">
        <f>IFERROR(INDEX('BASE DE DATOS'!$E$5:$E$152,MATCH(149,'BASE DE DATOS'!$Z$5:$Z$152,0)),"")</f>
        <v/>
      </c>
      <c r="G153" s="27" t="str">
        <f>IFERROR(INDEX('BASE DE DATOS'!$F$5:$F$152,MATCH(149,'BASE DE DATOS'!$Z$5:$Z$152,0)),"")</f>
        <v/>
      </c>
      <c r="H153" s="29" t="str">
        <f>IFERROR(INDEX('BASE DE DATOS'!$G$5:$G$152,MATCH(149,'BASE DE DATOS'!$Z$5:$Z$152,0)),"")</f>
        <v/>
      </c>
      <c r="I153" s="14" t="str">
        <f>IFERROR(INDEX('BASE DE DATOS'!$P$5:$P$152,MATCH(149,'BASE DE DATOS'!$Z$5:$Z$152,0)),"")</f>
        <v/>
      </c>
      <c r="J153" s="26" t="str">
        <f>IFERROR(INDEX('BASE DE DATOS'!$Q$5:$Q$152,MATCH(149,'BASE DE DATOS'!$Z$5:$Z$152,0)),"")</f>
        <v/>
      </c>
      <c r="K153" s="28" t="str">
        <f>IFERROR(INDEX('BASE DE DATOS'!$R$5:$R$152,MATCH(149,'BASE DE DATOS'!$Z$5:$Z$152,0)),"")</f>
        <v/>
      </c>
      <c r="L153" s="28" t="str">
        <f>IFERROR(INDEX('BASE DE DATOS'!$S$5:$S$152,MATCH(149,'BASE DE DATOS'!$Z$5:$Z$152,0)),"")</f>
        <v/>
      </c>
      <c r="M153" s="28" t="str">
        <f>IFERROR(INDEX('BASE DE DATOS'!$T$5:$T$152,MATCH(149,'BASE DE DATOS'!$Z$5:$Z$152,0)),"")</f>
        <v/>
      </c>
      <c r="N153" s="27" t="str">
        <f>IFERROR(INDEX('BASE DE DATOS'!$W$5:$W$152,MATCH(149,'BASE DE DATOS'!$Z$5:$Z$152,0)),"")</f>
        <v/>
      </c>
      <c r="O153" s="28" t="str">
        <f>IFERROR(INDEX('BASE DE DATOS'!$U$5:$U$152,MATCH(149,'BASE DE DATOS'!$Z$5:$Z$152,0)),"")</f>
        <v/>
      </c>
    </row>
    <row r="154" spans="1:15" x14ac:dyDescent="0.3">
      <c r="A154" s="9">
        <v>150</v>
      </c>
      <c r="B154" s="28" t="str">
        <f>IFERROR(INDEX('BASE DE DATOS'!$A$5:$A$152,MATCH(150,'BASE DE DATOS'!$Z$5:$Z$152,0)),"")</f>
        <v/>
      </c>
      <c r="C154" s="27" t="str">
        <f>IFERROR(INDEX('BASE DE DATOS'!$B$5:$B$152,MATCH(150,'BASE DE DATOS'!$Z$5:$Z$152,0)),"")</f>
        <v/>
      </c>
      <c r="D154" s="28" t="str">
        <f>IFERROR(INDEX('BASE DE DATOS'!$C$5:$C$152,MATCH(150,'BASE DE DATOS'!$Z$5:$Z$152,0)),"")</f>
        <v/>
      </c>
      <c r="E154" s="28" t="str">
        <f>IFERROR(INDEX('BASE DE DATOS'!$D$5:$D$152,MATCH(150,'BASE DE DATOS'!$Z$5:$Z$152,0)),"")</f>
        <v/>
      </c>
      <c r="F154" s="28" t="str">
        <f>IFERROR(INDEX('BASE DE DATOS'!$E$5:$E$152,MATCH(150,'BASE DE DATOS'!$Z$5:$Z$152,0)),"")</f>
        <v/>
      </c>
      <c r="G154" s="27" t="str">
        <f>IFERROR(INDEX('BASE DE DATOS'!$F$5:$F$152,MATCH(150,'BASE DE DATOS'!$Z$5:$Z$152,0)),"")</f>
        <v/>
      </c>
      <c r="H154" s="29" t="str">
        <f>IFERROR(INDEX('BASE DE DATOS'!$G$5:$G$152,MATCH(150,'BASE DE DATOS'!$Z$5:$Z$152,0)),"")</f>
        <v/>
      </c>
      <c r="I154" s="14" t="str">
        <f>IFERROR(INDEX('BASE DE DATOS'!$P$5:$P$152,MATCH(150,'BASE DE DATOS'!$Z$5:$Z$152,0)),"")</f>
        <v/>
      </c>
      <c r="J154" s="26" t="str">
        <f>IFERROR(INDEX('BASE DE DATOS'!$Q$5:$Q$152,MATCH(150,'BASE DE DATOS'!$Z$5:$Z$152,0)),"")</f>
        <v/>
      </c>
      <c r="K154" s="28" t="str">
        <f>IFERROR(INDEX('BASE DE DATOS'!$R$5:$R$152,MATCH(150,'BASE DE DATOS'!$Z$5:$Z$152,0)),"")</f>
        <v/>
      </c>
      <c r="L154" s="28" t="str">
        <f>IFERROR(INDEX('BASE DE DATOS'!$S$5:$S$152,MATCH(150,'BASE DE DATOS'!$Z$5:$Z$152,0)),"")</f>
        <v/>
      </c>
      <c r="M154" s="28" t="str">
        <f>IFERROR(INDEX('BASE DE DATOS'!$T$5:$T$152,MATCH(150,'BASE DE DATOS'!$Z$5:$Z$152,0)),"")</f>
        <v/>
      </c>
      <c r="N154" s="27" t="str">
        <f>IFERROR(INDEX('BASE DE DATOS'!$W$5:$W$152,MATCH(150,'BASE DE DATOS'!$Z$5:$Z$152,0)),"")</f>
        <v/>
      </c>
      <c r="O154" s="28" t="str">
        <f>IFERROR(INDEX('BASE DE DATOS'!$U$5:$U$152,MATCH(150,'BASE DE DATOS'!$Z$5:$Z$152,0)),"")</f>
        <v/>
      </c>
    </row>
  </sheetData>
  <sheetProtection password="EC39" sheet="1" sort="0" autoFilter="0"/>
  <autoFilter ref="A4:O154" xr:uid="{00000000-0009-0000-0000-000004000000}"/>
  <mergeCells count="2">
    <mergeCell ref="A1:O1"/>
    <mergeCell ref="A2:O2"/>
  </mergeCells>
  <conditionalFormatting sqref="L5:L154">
    <cfRule type="cellIs" dxfId="4" priority="2" operator="equal">
      <formula>"PRIORIDAD 1"</formula>
    </cfRule>
    <cfRule type="cellIs" dxfId="3" priority="3" operator="equal">
      <formula>"PRIORIDAD 2"</formula>
    </cfRule>
    <cfRule type="cellIs" dxfId="2" priority="4" operator="equal">
      <formula>"PRIORIDAD 3"</formula>
    </cfRule>
  </conditionalFormatting>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J28"/>
  <sheetViews>
    <sheetView showGridLines="0" topLeftCell="A11" zoomScaleNormal="100" workbookViewId="0">
      <selection activeCell="E5" sqref="E5:F5"/>
    </sheetView>
  </sheetViews>
  <sheetFormatPr baseColWidth="10" defaultColWidth="8.6640625" defaultRowHeight="14.4" x14ac:dyDescent="0.3"/>
  <cols>
    <col min="1" max="1" width="22" customWidth="1"/>
    <col min="2" max="10" width="12" customWidth="1"/>
  </cols>
  <sheetData>
    <row r="1" spans="1:10" ht="25.5" customHeight="1" x14ac:dyDescent="0.3">
      <c r="A1" s="117" t="s">
        <v>540</v>
      </c>
      <c r="B1" s="117"/>
      <c r="C1" s="117"/>
      <c r="D1" s="117"/>
      <c r="E1" s="117"/>
      <c r="F1" s="117"/>
      <c r="G1" s="117"/>
      <c r="H1" s="117"/>
      <c r="I1" s="117"/>
      <c r="J1" s="117"/>
    </row>
    <row r="2" spans="1:10" x14ac:dyDescent="0.3">
      <c r="A2" s="118" t="s">
        <v>541</v>
      </c>
      <c r="B2" s="118"/>
      <c r="C2" s="118"/>
      <c r="D2" s="118"/>
      <c r="E2" s="118"/>
      <c r="F2" s="118"/>
      <c r="G2" s="118"/>
      <c r="H2" s="118"/>
      <c r="I2" s="118"/>
      <c r="J2" s="118"/>
    </row>
    <row r="4" spans="1:10" ht="19.5" customHeight="1" x14ac:dyDescent="0.3">
      <c r="A4" s="119" t="s">
        <v>542</v>
      </c>
      <c r="B4" s="119"/>
      <c r="C4" s="119"/>
      <c r="D4" s="119"/>
      <c r="E4" s="119"/>
      <c r="F4" s="119"/>
      <c r="G4" s="119"/>
      <c r="H4" s="119"/>
      <c r="I4" s="119"/>
      <c r="J4" s="119"/>
    </row>
    <row r="5" spans="1:10" ht="16.8" x14ac:dyDescent="0.3">
      <c r="A5" s="121" t="s">
        <v>543</v>
      </c>
      <c r="B5" s="121"/>
      <c r="C5" s="121"/>
      <c r="D5" s="121"/>
      <c r="E5" s="125">
        <f>COUNTIF('BASE DE DATOS'!$A$5:$A$152,"?*")</f>
        <v>3</v>
      </c>
      <c r="F5" s="125"/>
      <c r="G5" s="121" t="s">
        <v>544</v>
      </c>
      <c r="H5" s="121"/>
      <c r="I5" s="126">
        <f>IFERROR(AVERAGEIF('BASE DE DATOS'!$A$5:$A$152,"?*",'BASE DE DATOS'!$P$5:$P$152)/100,"")</f>
        <v>0.42325750000000001</v>
      </c>
      <c r="J5" s="126"/>
    </row>
    <row r="7" spans="1:10" ht="19.5" customHeight="1" x14ac:dyDescent="0.3">
      <c r="A7" s="119" t="s">
        <v>545</v>
      </c>
      <c r="B7" s="119"/>
      <c r="C7" s="119"/>
      <c r="D7" s="119"/>
      <c r="E7" s="119"/>
      <c r="F7" s="119"/>
      <c r="G7" s="119"/>
      <c r="H7" s="119"/>
      <c r="I7" s="119"/>
      <c r="J7" s="119"/>
    </row>
    <row r="8" spans="1:10" ht="27.75" customHeight="1" x14ac:dyDescent="0.3">
      <c r="A8" s="1" t="s">
        <v>433</v>
      </c>
      <c r="B8" s="1" t="s">
        <v>546</v>
      </c>
      <c r="C8" s="1" t="s">
        <v>547</v>
      </c>
      <c r="D8" s="1"/>
      <c r="E8" s="1"/>
      <c r="F8" s="1"/>
      <c r="G8" s="1"/>
      <c r="H8" s="1"/>
      <c r="I8" s="1"/>
      <c r="J8" s="1"/>
    </row>
    <row r="9" spans="1:10" x14ac:dyDescent="0.3">
      <c r="A9" s="127" t="s">
        <v>43</v>
      </c>
      <c r="B9" s="127"/>
      <c r="C9" s="127"/>
      <c r="D9" s="12">
        <f>COUNTIF('BASE DE DATOS'!$R$5:$R$152,A9)</f>
        <v>1</v>
      </c>
      <c r="E9" s="26">
        <f>IFERROR(D9/$E$5,"")</f>
        <v>0.33333333333333331</v>
      </c>
      <c r="F9" s="15"/>
      <c r="G9" s="15"/>
      <c r="H9" s="15"/>
      <c r="I9" s="15"/>
      <c r="J9" s="15"/>
    </row>
    <row r="10" spans="1:10" x14ac:dyDescent="0.3">
      <c r="A10" s="128" t="s">
        <v>31</v>
      </c>
      <c r="B10" s="128"/>
      <c r="C10" s="128"/>
      <c r="D10" s="12">
        <f>COUNTIF('BASE DE DATOS'!$R$5:$R$152,A10)</f>
        <v>0</v>
      </c>
      <c r="E10" s="26">
        <f>IFERROR(D10/$E$5,"")</f>
        <v>0</v>
      </c>
      <c r="F10" s="15"/>
      <c r="G10" s="15"/>
      <c r="H10" s="15"/>
      <c r="I10" s="15"/>
      <c r="J10" s="15"/>
    </row>
    <row r="11" spans="1:10" x14ac:dyDescent="0.3">
      <c r="A11" s="129" t="s">
        <v>33</v>
      </c>
      <c r="B11" s="129"/>
      <c r="C11" s="129"/>
      <c r="D11" s="12">
        <f>COUNTIF('BASE DE DATOS'!$R$5:$R$152,A11)</f>
        <v>1</v>
      </c>
      <c r="E11" s="26">
        <f>IFERROR(D11/$E$5,"")</f>
        <v>0.33333333333333331</v>
      </c>
      <c r="F11" s="15"/>
      <c r="G11" s="15"/>
      <c r="H11" s="15"/>
      <c r="I11" s="15"/>
      <c r="J11" s="15"/>
    </row>
    <row r="12" spans="1:10" x14ac:dyDescent="0.3">
      <c r="A12" s="130" t="s">
        <v>35</v>
      </c>
      <c r="B12" s="130"/>
      <c r="C12" s="130"/>
      <c r="D12" s="12">
        <f>COUNTIF('BASE DE DATOS'!$R$5:$R$152,A12)</f>
        <v>1</v>
      </c>
      <c r="E12" s="26">
        <f>IFERROR(D12/$E$5,"")</f>
        <v>0.33333333333333331</v>
      </c>
      <c r="F12" s="15"/>
      <c r="G12" s="15"/>
      <c r="H12" s="15"/>
      <c r="I12" s="15"/>
      <c r="J12" s="15"/>
    </row>
    <row r="13" spans="1:10" x14ac:dyDescent="0.3">
      <c r="A13" s="131" t="s">
        <v>37</v>
      </c>
      <c r="B13" s="131"/>
      <c r="C13" s="131"/>
      <c r="D13" s="12">
        <f>COUNTIF('BASE DE DATOS'!$R$5:$R$152,A13)</f>
        <v>0</v>
      </c>
      <c r="E13" s="26">
        <f>IFERROR(D13/$E$5,"")</f>
        <v>0</v>
      </c>
      <c r="F13" s="15"/>
      <c r="G13" s="15"/>
      <c r="H13" s="15"/>
      <c r="I13" s="15"/>
      <c r="J13" s="15"/>
    </row>
    <row r="15" spans="1:10" ht="19.5" customHeight="1" x14ac:dyDescent="0.3">
      <c r="A15" s="119" t="s">
        <v>548</v>
      </c>
      <c r="B15" s="119"/>
      <c r="C15" s="119"/>
      <c r="D15" s="119"/>
      <c r="E15" s="119"/>
      <c r="F15" s="119"/>
      <c r="G15" s="119"/>
      <c r="H15" s="119"/>
      <c r="I15" s="119"/>
      <c r="J15" s="119"/>
    </row>
    <row r="16" spans="1:10" ht="27.75" customHeight="1" x14ac:dyDescent="0.3">
      <c r="A16" s="1" t="s">
        <v>53</v>
      </c>
      <c r="B16" s="1" t="s">
        <v>546</v>
      </c>
      <c r="C16" s="1" t="s">
        <v>547</v>
      </c>
      <c r="D16" s="1"/>
      <c r="E16" s="1"/>
      <c r="F16" s="1"/>
      <c r="G16" s="1"/>
      <c r="H16" s="1"/>
      <c r="I16" s="1"/>
      <c r="J16" s="1"/>
    </row>
    <row r="17" spans="1:10" x14ac:dyDescent="0.3">
      <c r="A17" s="132" t="s">
        <v>55</v>
      </c>
      <c r="B17" s="132"/>
      <c r="C17" s="132"/>
      <c r="D17" s="12">
        <f>COUNTIF('BASE DE DATOS'!$S$5:$S$152,A17)</f>
        <v>2</v>
      </c>
      <c r="E17" s="26">
        <f>IFERROR(D17/$E$5,"")</f>
        <v>0.66666666666666663</v>
      </c>
      <c r="F17" s="15"/>
      <c r="G17" s="15"/>
      <c r="H17" s="15"/>
      <c r="I17" s="15"/>
      <c r="J17" s="15"/>
    </row>
    <row r="18" spans="1:10" x14ac:dyDescent="0.3">
      <c r="A18" s="132" t="s">
        <v>57</v>
      </c>
      <c r="B18" s="132"/>
      <c r="C18" s="132"/>
      <c r="D18" s="12">
        <f>COUNTIF('BASE DE DATOS'!$S$5:$S$152,A18)</f>
        <v>0</v>
      </c>
      <c r="E18" s="26">
        <f>IFERROR(D18/$E$5,"")</f>
        <v>0</v>
      </c>
      <c r="F18" s="15"/>
      <c r="G18" s="15"/>
      <c r="H18" s="15"/>
      <c r="I18" s="15"/>
      <c r="J18" s="15"/>
    </row>
    <row r="19" spans="1:10" x14ac:dyDescent="0.3">
      <c r="A19" s="132" t="s">
        <v>59</v>
      </c>
      <c r="B19" s="132"/>
      <c r="C19" s="132"/>
      <c r="D19" s="12">
        <f>COUNTIF('BASE DE DATOS'!$S$5:$S$152,A19)</f>
        <v>1</v>
      </c>
      <c r="E19" s="26">
        <f>IFERROR(D19/$E$5,"")</f>
        <v>0.33333333333333331</v>
      </c>
      <c r="F19" s="15"/>
      <c r="G19" s="15"/>
      <c r="H19" s="15"/>
      <c r="I19" s="15"/>
      <c r="J19" s="15"/>
    </row>
    <row r="21" spans="1:10" ht="19.5" customHeight="1" x14ac:dyDescent="0.3">
      <c r="A21" s="119" t="s">
        <v>549</v>
      </c>
      <c r="B21" s="119"/>
      <c r="C21" s="119"/>
      <c r="D21" s="119"/>
      <c r="E21" s="119"/>
      <c r="F21" s="119"/>
      <c r="G21" s="119"/>
      <c r="H21" s="119"/>
      <c r="I21" s="119"/>
      <c r="J21" s="119"/>
    </row>
    <row r="22" spans="1:10" ht="15.6" x14ac:dyDescent="0.3">
      <c r="A22" s="121" t="s">
        <v>550</v>
      </c>
      <c r="B22" s="121"/>
      <c r="C22" s="121"/>
      <c r="D22" s="121"/>
      <c r="E22" s="133">
        <f>COUNTIF('BASE DE DATOS'!$T$5:$T$152,"Sí")</f>
        <v>2</v>
      </c>
      <c r="F22" s="133"/>
    </row>
    <row r="23" spans="1:10" ht="19.5" customHeight="1" x14ac:dyDescent="0.3">
      <c r="A23" s="119" t="s">
        <v>551</v>
      </c>
      <c r="B23" s="119"/>
      <c r="C23" s="119"/>
      <c r="D23" s="119"/>
      <c r="E23" s="119"/>
      <c r="F23" s="119"/>
      <c r="G23" s="119"/>
      <c r="H23" s="119"/>
      <c r="I23" s="119"/>
      <c r="J23" s="119"/>
    </row>
    <row r="24" spans="1:10" ht="27.75" customHeight="1" x14ac:dyDescent="0.3">
      <c r="A24" s="1" t="s">
        <v>476</v>
      </c>
      <c r="B24" s="1" t="s">
        <v>552</v>
      </c>
      <c r="C24" s="1"/>
      <c r="D24" s="1"/>
      <c r="E24" s="1"/>
      <c r="F24" s="1"/>
      <c r="G24" s="1"/>
      <c r="H24" s="1"/>
      <c r="I24" s="1"/>
      <c r="J24" s="1"/>
    </row>
    <row r="25" spans="1:10" x14ac:dyDescent="0.3">
      <c r="A25" s="132" t="s">
        <v>482</v>
      </c>
      <c r="B25" s="132"/>
      <c r="C25" s="132"/>
      <c r="D25" s="12">
        <f>COUNTIF('BASE DE DATOS'!$E$5:$E$152,A25)</f>
        <v>0</v>
      </c>
      <c r="E25" s="15"/>
      <c r="F25" s="15"/>
      <c r="G25" s="15"/>
      <c r="H25" s="15"/>
      <c r="I25" s="15"/>
      <c r="J25" s="15"/>
    </row>
    <row r="26" spans="1:10" x14ac:dyDescent="0.3">
      <c r="A26" s="132" t="s">
        <v>487</v>
      </c>
      <c r="B26" s="132"/>
      <c r="C26" s="132"/>
      <c r="D26" s="12">
        <f>COUNTIF('BASE DE DATOS'!$E$5:$E$152,A26)</f>
        <v>0</v>
      </c>
      <c r="E26" s="15"/>
      <c r="F26" s="15"/>
      <c r="G26" s="15"/>
      <c r="H26" s="15"/>
      <c r="I26" s="15"/>
      <c r="J26" s="15"/>
    </row>
    <row r="27" spans="1:10" x14ac:dyDescent="0.3">
      <c r="A27" s="132" t="s">
        <v>492</v>
      </c>
      <c r="B27" s="132"/>
      <c r="C27" s="132"/>
      <c r="D27" s="12">
        <f>COUNTIF('BASE DE DATOS'!$E$5:$E$152,A27)</f>
        <v>3</v>
      </c>
      <c r="E27" s="15"/>
      <c r="F27" s="15"/>
      <c r="G27" s="15"/>
      <c r="H27" s="15"/>
      <c r="I27" s="15"/>
      <c r="J27" s="15"/>
    </row>
    <row r="28" spans="1:10" x14ac:dyDescent="0.3">
      <c r="A28" s="132" t="s">
        <v>496</v>
      </c>
      <c r="B28" s="132"/>
      <c r="C28" s="132"/>
      <c r="D28" s="12">
        <f>COUNTIF('BASE DE DATOS'!$E$5:$E$152,A28)</f>
        <v>0</v>
      </c>
      <c r="E28" s="15"/>
      <c r="F28" s="15"/>
      <c r="G28" s="15"/>
      <c r="H28" s="15"/>
      <c r="I28" s="15"/>
      <c r="J28" s="15"/>
    </row>
  </sheetData>
  <sheetProtection password="EC39" sheet="1" sort="0" autoFilter="0"/>
  <mergeCells count="25">
    <mergeCell ref="A26:C26"/>
    <mergeCell ref="A27:C27"/>
    <mergeCell ref="A28:C28"/>
    <mergeCell ref="A21:J21"/>
    <mergeCell ref="A22:D22"/>
    <mergeCell ref="E22:F22"/>
    <mergeCell ref="A23:J23"/>
    <mergeCell ref="A25:C25"/>
    <mergeCell ref="A13:C13"/>
    <mergeCell ref="A15:J15"/>
    <mergeCell ref="A17:C17"/>
    <mergeCell ref="A18:C18"/>
    <mergeCell ref="A19:C19"/>
    <mergeCell ref="A7:J7"/>
    <mergeCell ref="A9:C9"/>
    <mergeCell ref="A10:C10"/>
    <mergeCell ref="A11:C11"/>
    <mergeCell ref="A12:C12"/>
    <mergeCell ref="A1:J1"/>
    <mergeCell ref="A2:J2"/>
    <mergeCell ref="A4:J4"/>
    <mergeCell ref="A5:D5"/>
    <mergeCell ref="E5:F5"/>
    <mergeCell ref="G5:H5"/>
    <mergeCell ref="I5:J5"/>
  </mergeCells>
  <pageMargins left="0.75" right="0.75" top="1" bottom="1" header="0.511811023622047" footer="0.511811023622047"/>
  <pageSetup paperSize="9" orientation="portrait" horizontalDpi="300" verticalDpi="30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J19"/>
  <sheetViews>
    <sheetView showGridLines="0" zoomScaleNormal="100" workbookViewId="0">
      <pane ySplit="3" topLeftCell="A4" activePane="bottomLeft" state="frozen"/>
      <selection pane="bottomLeft" sqref="A1:J1"/>
    </sheetView>
  </sheetViews>
  <sheetFormatPr baseColWidth="10" defaultColWidth="8.6640625" defaultRowHeight="14.4" x14ac:dyDescent="0.3"/>
  <cols>
    <col min="1" max="1" width="11" customWidth="1"/>
    <col min="2" max="2" width="32" customWidth="1"/>
    <col min="3" max="4" width="12" customWidth="1"/>
    <col min="5" max="8" width="17" customWidth="1"/>
    <col min="9" max="9" width="11" customWidth="1"/>
  </cols>
  <sheetData>
    <row r="1" spans="1:10" ht="25.5" customHeight="1" x14ac:dyDescent="0.3">
      <c r="A1" s="123" t="s">
        <v>553</v>
      </c>
      <c r="B1" s="123"/>
      <c r="C1" s="123"/>
      <c r="D1" s="123"/>
      <c r="E1" s="123"/>
      <c r="F1" s="123"/>
      <c r="G1" s="123"/>
      <c r="H1" s="123"/>
      <c r="I1" s="123"/>
      <c r="J1" s="123"/>
    </row>
    <row r="2" spans="1:10" ht="42" customHeight="1" x14ac:dyDescent="0.3">
      <c r="A2" s="118" t="s">
        <v>554</v>
      </c>
      <c r="B2" s="118"/>
      <c r="C2" s="118"/>
      <c r="D2" s="118"/>
      <c r="E2" s="118"/>
      <c r="F2" s="118"/>
      <c r="G2" s="118"/>
      <c r="H2" s="118"/>
      <c r="I2" s="118"/>
      <c r="J2" s="118"/>
    </row>
    <row r="4" spans="1:10" ht="33.75" customHeight="1" x14ac:dyDescent="0.3">
      <c r="A4" s="25" t="s">
        <v>324</v>
      </c>
      <c r="B4" s="25" t="s">
        <v>555</v>
      </c>
      <c r="C4" s="25" t="s">
        <v>556</v>
      </c>
      <c r="D4" s="25" t="s">
        <v>557</v>
      </c>
      <c r="E4" s="25" t="s">
        <v>558</v>
      </c>
      <c r="F4" s="25" t="s">
        <v>559</v>
      </c>
      <c r="G4" s="25" t="s">
        <v>560</v>
      </c>
      <c r="H4" s="25" t="s">
        <v>561</v>
      </c>
      <c r="I4" s="25" t="s">
        <v>562</v>
      </c>
    </row>
    <row r="5" spans="1:10" ht="26.4" x14ac:dyDescent="0.3">
      <c r="A5" s="15" t="s">
        <v>563</v>
      </c>
      <c r="B5" s="11" t="s">
        <v>564</v>
      </c>
      <c r="C5" s="24">
        <v>8</v>
      </c>
      <c r="D5" s="8" t="s">
        <v>491</v>
      </c>
      <c r="E5" s="15" t="s">
        <v>43</v>
      </c>
      <c r="F5" s="27" t="str">
        <f>INDEX(ParamRangoNivel,MATCH(C5,ParamRangoDesde,1))</f>
        <v>Vulnerabilidad muy baja</v>
      </c>
      <c r="G5" s="15" t="s">
        <v>59</v>
      </c>
      <c r="H5" s="28" t="str">
        <f>IF(D5="Sí","PRIORIDAD 1",INDEX(ParamPrioNombre,MATCH(C5,ParamPrioDesde,1)))</f>
        <v>PRIORIDAD 3</v>
      </c>
      <c r="I5" s="9" t="str">
        <f>IF(AND(F5=E5,LEFT(H5,11)=LEFT(G5,11)),"OK","REVISAR")</f>
        <v>OK</v>
      </c>
    </row>
    <row r="6" spans="1:10" x14ac:dyDescent="0.3">
      <c r="A6" s="15" t="s">
        <v>565</v>
      </c>
      <c r="B6" s="11" t="s">
        <v>566</v>
      </c>
      <c r="C6" s="24">
        <v>30</v>
      </c>
      <c r="D6" s="8" t="s">
        <v>491</v>
      </c>
      <c r="E6" s="15" t="s">
        <v>31</v>
      </c>
      <c r="F6" s="27" t="str">
        <f>INDEX(ParamRangoNivel,MATCH(C6,ParamRangoDesde,1))</f>
        <v>Vulnerabilidad baja</v>
      </c>
      <c r="G6" s="15" t="s">
        <v>59</v>
      </c>
      <c r="H6" s="28" t="str">
        <f>IF(D6="Sí","PRIORIDAD 1",INDEX(ParamPrioNombre,MATCH(C6,ParamPrioDesde,1)))</f>
        <v>PRIORIDAD 3</v>
      </c>
      <c r="I6" s="9" t="str">
        <f>IF(AND(F6=E6,LEFT(H6,11)=LEFT(G6,11)),"OK","REVISAR")</f>
        <v>OK</v>
      </c>
    </row>
    <row r="7" spans="1:10" ht="26.4" x14ac:dyDescent="0.3">
      <c r="A7" s="15" t="s">
        <v>567</v>
      </c>
      <c r="B7" s="11" t="s">
        <v>568</v>
      </c>
      <c r="C7" s="24">
        <v>50</v>
      </c>
      <c r="D7" s="8" t="s">
        <v>491</v>
      </c>
      <c r="E7" s="15" t="s">
        <v>33</v>
      </c>
      <c r="F7" s="27" t="str">
        <f>INDEX(ParamRangoNivel,MATCH(C7,ParamRangoDesde,1))</f>
        <v>Vulnerabilidad moderada</v>
      </c>
      <c r="G7" s="15" t="s">
        <v>57</v>
      </c>
      <c r="H7" s="28" t="str">
        <f>IF(D7="Sí","PRIORIDAD 1",INDEX(ParamPrioNombre,MATCH(C7,ParamPrioDesde,1)))</f>
        <v>PRIORIDAD 2</v>
      </c>
      <c r="I7" s="9" t="str">
        <f>IF(AND(F7=E7,LEFT(H7,11)=LEFT(G7,11)),"OK","REVISAR")</f>
        <v>OK</v>
      </c>
    </row>
    <row r="8" spans="1:10" x14ac:dyDescent="0.3">
      <c r="A8" s="15" t="s">
        <v>569</v>
      </c>
      <c r="B8" s="11" t="s">
        <v>570</v>
      </c>
      <c r="C8" s="24">
        <v>70</v>
      </c>
      <c r="D8" s="8" t="s">
        <v>491</v>
      </c>
      <c r="E8" s="15" t="s">
        <v>35</v>
      </c>
      <c r="F8" s="27" t="str">
        <f>INDEX(ParamRangoNivel,MATCH(C8,ParamRangoDesde,1))</f>
        <v>Vulnerabilidad alta</v>
      </c>
      <c r="G8" s="15" t="s">
        <v>55</v>
      </c>
      <c r="H8" s="28" t="str">
        <f>IF(D8="Sí","PRIORIDAD 1",INDEX(ParamPrioNombre,MATCH(C8,ParamPrioDesde,1)))</f>
        <v>PRIORIDAD 1</v>
      </c>
      <c r="I8" s="9" t="str">
        <f>IF(AND(F8=E8,LEFT(H8,11)=LEFT(G8,11)),"OK","REVISAR")</f>
        <v>OK</v>
      </c>
    </row>
    <row r="9" spans="1:10" ht="28.8" x14ac:dyDescent="0.3">
      <c r="A9" s="15" t="s">
        <v>571</v>
      </c>
      <c r="B9" s="11" t="s">
        <v>572</v>
      </c>
      <c r="C9" s="24">
        <v>44.5</v>
      </c>
      <c r="D9" s="8" t="s">
        <v>486</v>
      </c>
      <c r="E9" s="15" t="s">
        <v>33</v>
      </c>
      <c r="F9" s="27" t="str">
        <f>INDEX(ParamRangoNivel,MATCH(C9,ParamRangoDesde,1))</f>
        <v>Vulnerabilidad moderada</v>
      </c>
      <c r="G9" s="15" t="s">
        <v>573</v>
      </c>
      <c r="H9" s="28" t="str">
        <f>IF(D9="Sí","PRIORIDAD 1",INDEX(ParamPrioNombre,MATCH(C9,ParamPrioDesde,1)))</f>
        <v>PRIORIDAD 1</v>
      </c>
      <c r="I9" s="9" t="str">
        <f>IF(AND(F9=E9,LEFT(H9,11)=LEFT(G9,11)),"OK","REVISAR")</f>
        <v>OK</v>
      </c>
    </row>
    <row r="12" spans="1:10" x14ac:dyDescent="0.3">
      <c r="A12" s="121" t="s">
        <v>574</v>
      </c>
      <c r="B12" s="121"/>
      <c r="C12" s="121"/>
      <c r="D12" s="121"/>
      <c r="E12" s="121"/>
      <c r="F12" s="121"/>
      <c r="G12" s="121"/>
      <c r="H12" s="121"/>
      <c r="I12" s="121"/>
      <c r="J12" s="121"/>
    </row>
    <row r="13" spans="1:10" ht="25.5" customHeight="1" x14ac:dyDescent="0.3">
      <c r="A13" s="134" t="s">
        <v>575</v>
      </c>
      <c r="B13" s="134"/>
      <c r="C13" s="134"/>
      <c r="D13" s="134"/>
      <c r="E13" s="134"/>
      <c r="F13" s="134"/>
      <c r="G13" s="134"/>
      <c r="H13" s="134"/>
      <c r="I13" s="134"/>
      <c r="J13" s="134"/>
    </row>
    <row r="14" spans="1:10" ht="25.5" customHeight="1" x14ac:dyDescent="0.3">
      <c r="A14" s="134" t="s">
        <v>576</v>
      </c>
      <c r="B14" s="134"/>
      <c r="C14" s="134"/>
      <c r="D14" s="134"/>
      <c r="E14" s="134"/>
      <c r="F14" s="134"/>
      <c r="G14" s="134"/>
      <c r="H14" s="134"/>
      <c r="I14" s="134"/>
      <c r="J14" s="134"/>
    </row>
    <row r="15" spans="1:10" ht="25.5" customHeight="1" x14ac:dyDescent="0.3">
      <c r="A15" s="134" t="s">
        <v>577</v>
      </c>
      <c r="B15" s="134"/>
      <c r="C15" s="134"/>
      <c r="D15" s="134"/>
      <c r="E15" s="134"/>
      <c r="F15" s="134"/>
      <c r="G15" s="134"/>
      <c r="H15" s="134"/>
      <c r="I15" s="134"/>
      <c r="J15" s="134"/>
    </row>
    <row r="16" spans="1:10" ht="25.5" customHeight="1" x14ac:dyDescent="0.3">
      <c r="A16" s="134" t="s">
        <v>578</v>
      </c>
      <c r="B16" s="134"/>
      <c r="C16" s="134"/>
      <c r="D16" s="134"/>
      <c r="E16" s="134"/>
      <c r="F16" s="134"/>
      <c r="G16" s="134"/>
      <c r="H16" s="134"/>
      <c r="I16" s="134"/>
      <c r="J16" s="134"/>
    </row>
    <row r="17" spans="1:10" ht="25.5" customHeight="1" x14ac:dyDescent="0.3">
      <c r="A17" s="134" t="s">
        <v>579</v>
      </c>
      <c r="B17" s="134"/>
      <c r="C17" s="134"/>
      <c r="D17" s="134"/>
      <c r="E17" s="134"/>
      <c r="F17" s="134"/>
      <c r="G17" s="134"/>
      <c r="H17" s="134"/>
      <c r="I17" s="134"/>
      <c r="J17" s="134"/>
    </row>
    <row r="18" spans="1:10" ht="25.5" customHeight="1" x14ac:dyDescent="0.3">
      <c r="A18" s="134" t="s">
        <v>580</v>
      </c>
      <c r="B18" s="134"/>
      <c r="C18" s="134"/>
      <c r="D18" s="134"/>
      <c r="E18" s="134"/>
      <c r="F18" s="134"/>
      <c r="G18" s="134"/>
      <c r="H18" s="134"/>
      <c r="I18" s="134"/>
      <c r="J18" s="134"/>
    </row>
    <row r="19" spans="1:10" ht="25.5" customHeight="1" x14ac:dyDescent="0.3">
      <c r="A19" s="134" t="s">
        <v>581</v>
      </c>
      <c r="B19" s="134"/>
      <c r="C19" s="134"/>
      <c r="D19" s="134"/>
      <c r="E19" s="134"/>
      <c r="F19" s="134"/>
      <c r="G19" s="134"/>
      <c r="H19" s="134"/>
      <c r="I19" s="134"/>
      <c r="J19" s="134"/>
    </row>
  </sheetData>
  <sheetProtection password="EC39" sheet="1" sort="0" autoFilter="0"/>
  <mergeCells count="10">
    <mergeCell ref="A15:J15"/>
    <mergeCell ref="A16:J16"/>
    <mergeCell ref="A17:J17"/>
    <mergeCell ref="A18:J18"/>
    <mergeCell ref="A19:J19"/>
    <mergeCell ref="A1:J1"/>
    <mergeCell ref="A2:J2"/>
    <mergeCell ref="A12:J12"/>
    <mergeCell ref="A13:J13"/>
    <mergeCell ref="A14:J14"/>
  </mergeCells>
  <conditionalFormatting sqref="I5:I9">
    <cfRule type="cellIs" dxfId="1" priority="2" operator="equal">
      <formula>"OK"</formula>
    </cfRule>
    <cfRule type="cellIs" dxfId="0" priority="3" operator="equal">
      <formula>"REVISAR"</formula>
    </cfRule>
  </conditionalFormatting>
  <dataValidations count="1">
    <dataValidation type="list" allowBlank="1" showInputMessage="1" errorTitle="Valor no válido" error="Seleccione un valor de la lista." promptTitle="Seleccione" sqref="D5:D9" xr:uid="{00000000-0002-0000-0600-000000000000}">
      <formula1>ListaSiNo</formula1>
      <formula2>0</formula2>
    </dataValidation>
  </dataValidation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Hojas de cálculo</vt:lpstr>
      </vt:variant>
      <vt:variant>
        <vt:i4>7</vt:i4>
      </vt:variant>
      <vt:variant>
        <vt:lpstr>Rangos con nombre</vt:lpstr>
      </vt:variant>
      <vt:variant>
        <vt:i4>59</vt:i4>
      </vt:variant>
    </vt:vector>
  </HeadingPairs>
  <TitlesOfParts>
    <vt:vector size="66" baseType="lpstr">
      <vt:lpstr>INSTRUCCIONES</vt:lpstr>
      <vt:lpstr>VALORACIÓN</vt:lpstr>
      <vt:lpstr>PARÁMETROS</vt:lpstr>
      <vt:lpstr>BASE DE DATOS</vt:lpstr>
      <vt:lpstr>PRIORIZACIÓN</vt:lpstr>
      <vt:lpstr>DASHBOARD</vt:lpstr>
      <vt:lpstr>PRUEBAS</vt:lpstr>
      <vt:lpstr>BD_PrimeraFila</vt:lpstr>
      <vt:lpstr>CanastaRef</vt:lpstr>
      <vt:lpstr>DepT_1</vt:lpstr>
      <vt:lpstr>DepT_2</vt:lpstr>
      <vt:lpstr>DepT_3</vt:lpstr>
      <vt:lpstr>DepT_4</vt:lpstr>
      <vt:lpstr>HacT_2</vt:lpstr>
      <vt:lpstr>HacT_3</vt:lpstr>
      <vt:lpstr>ListaCMCI</vt:lpstr>
      <vt:lpstr>ListaEstadoVal</vt:lpstr>
      <vt:lpstr>ListaParentesco</vt:lpstr>
      <vt:lpstr>ListaSexo</vt:lpstr>
      <vt:lpstr>ListaSiNo</vt:lpstr>
      <vt:lpstr>ListaSiNoParcial</vt:lpstr>
      <vt:lpstr>ListaTenencia</vt:lpstr>
      <vt:lpstr>NnaT_2</vt:lpstr>
      <vt:lpstr>NnaT_3</vt:lpstr>
      <vt:lpstr>NnaT_4</vt:lpstr>
      <vt:lpstr>NV_Alerta</vt:lpstr>
      <vt:lpstr>NV_CMCI</vt:lpstr>
      <vt:lpstr>NV_Codigo</vt:lpstr>
      <vt:lpstr>NV_D1</vt:lpstr>
      <vt:lpstr>NV_D2</vt:lpstr>
      <vt:lpstr>NV_D3</vt:lpstr>
      <vt:lpstr>NV_D4</vt:lpstr>
      <vt:lpstr>NV_D5</vt:lpstr>
      <vt:lpstr>NV_D6</vt:lpstr>
      <vt:lpstr>NV_D7</vt:lpstr>
      <vt:lpstr>NV_D8</vt:lpstr>
      <vt:lpstr>NV_Edad</vt:lpstr>
      <vt:lpstr>NV_Estado</vt:lpstr>
      <vt:lpstr>NV_FechaVal</vt:lpstr>
      <vt:lpstr>NV_Necesidad</vt:lpstr>
      <vt:lpstr>NV_Nivel</vt:lpstr>
      <vt:lpstr>NV_Nombre</vt:lpstr>
      <vt:lpstr>NV_Observaciones</vt:lpstr>
      <vt:lpstr>NV_Prioridad</vt:lpstr>
      <vt:lpstr>NV_Sector</vt:lpstr>
      <vt:lpstr>NV_Sexo</vt:lpstr>
      <vt:lpstr>NV_Total</vt:lpstr>
      <vt:lpstr>ParamDimCod</vt:lpstr>
      <vt:lpstr>ParamDimNombre</vt:lpstr>
      <vt:lpstr>ParamDimPeso</vt:lpstr>
      <vt:lpstr>ParamIndicID</vt:lpstr>
      <vt:lpstr>ParamOpcID</vt:lpstr>
      <vt:lpstr>ParamOpcScore</vt:lpstr>
      <vt:lpstr>ParamOpcTexto</vt:lpstr>
      <vt:lpstr>ParamPesoGlobal</vt:lpstr>
      <vt:lpstr>ParamPrioDesde</vt:lpstr>
      <vt:lpstr>ParamPrioNombre</vt:lpstr>
      <vt:lpstr>ParamPrioTabla</vt:lpstr>
      <vt:lpstr>ParamRangoDesde</vt:lpstr>
      <vt:lpstr>ParamRangoNivel</vt:lpstr>
      <vt:lpstr>ParamRangoSemaforo</vt:lpstr>
      <vt:lpstr>ParamRangoTabla</vt:lpstr>
      <vt:lpstr>RatioT_025</vt:lpstr>
      <vt:lpstr>RatioT_050</vt:lpstr>
      <vt:lpstr>RatioT_075</vt:lpstr>
      <vt:lpstr>RatioT_100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Javier Gastiaburo</cp:lastModifiedBy>
  <cp:revision>1</cp:revision>
  <cp:lastPrinted>2026-09-25T16:23:14Z</cp:lastPrinted>
  <dcterms:created xsi:type="dcterms:W3CDTF">2026-09-24T15:29:00Z</dcterms:created>
  <dcterms:modified xsi:type="dcterms:W3CDTF">2026-09-25T16:23:45Z</dcterms:modified>
  <dc:language>en-US</dc:language>
</cp:coreProperties>
</file>